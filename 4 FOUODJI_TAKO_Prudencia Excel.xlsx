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C:\Users\Fouodji Prudencia\Desktop\Normal_SeriesTemp\"/>
    </mc:Choice>
  </mc:AlternateContent>
  <xr:revisionPtr revIDLastSave="0" documentId="13_ncr:1_{324C1C62-3EA8-4FC9-BCE8-7F447A7728BC}" xr6:coauthVersionLast="47" xr6:coauthVersionMax="47" xr10:uidLastSave="{00000000-0000-0000-0000-000000000000}"/>
  <bookViews>
    <workbookView xWindow="-110" yWindow="-110" windowWidth="19420" windowHeight="10300" activeTab="4" xr2:uid="{1495F4EB-E283-4D83-BEF0-92D6638B8A7D}"/>
  </bookViews>
  <sheets>
    <sheet name="Identification" sheetId="1" r:id="rId1"/>
    <sheet name="Tendance" sheetId="2" r:id="rId2"/>
    <sheet name="Saisonnalite" sheetId="3" r:id="rId3"/>
    <sheet name="Residus" sheetId="4" r:id="rId4"/>
    <sheet name="Previsions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" i="6" l="1"/>
  <c r="G98" i="6"/>
  <c r="G99" i="6"/>
  <c r="G100" i="6"/>
  <c r="G101" i="6"/>
  <c r="G102" i="6"/>
  <c r="G103" i="6"/>
  <c r="G104" i="6"/>
  <c r="G105" i="6"/>
  <c r="G106" i="6"/>
  <c r="G107" i="6"/>
  <c r="G108" i="6"/>
  <c r="G97" i="6"/>
  <c r="E97" i="6"/>
  <c r="E98" i="6"/>
  <c r="E99" i="6"/>
  <c r="E100" i="6"/>
  <c r="E101" i="6"/>
  <c r="E102" i="6"/>
  <c r="E103" i="6"/>
  <c r="E104" i="6"/>
  <c r="E105" i="6"/>
  <c r="E106" i="6"/>
  <c r="E107" i="6"/>
  <c r="E108" i="6"/>
  <c r="F76" i="6"/>
  <c r="C20" i="6"/>
  <c r="F42" i="6" s="1"/>
  <c r="C19" i="6"/>
  <c r="E42" i="6" s="1"/>
  <c r="D43" i="4"/>
  <c r="E43" i="4" s="1"/>
  <c r="G43" i="4" s="1"/>
  <c r="D42" i="4"/>
  <c r="E42" i="4" s="1"/>
  <c r="G42" i="4" s="1"/>
  <c r="D41" i="4"/>
  <c r="E41" i="4" s="1"/>
  <c r="G41" i="4" s="1"/>
  <c r="D40" i="4"/>
  <c r="E40" i="4" s="1"/>
  <c r="G40" i="4" s="1"/>
  <c r="D39" i="4"/>
  <c r="E39" i="4" s="1"/>
  <c r="G39" i="4" s="1"/>
  <c r="D38" i="4"/>
  <c r="E38" i="4" s="1"/>
  <c r="G38" i="4" s="1"/>
  <c r="D37" i="4"/>
  <c r="E37" i="4" s="1"/>
  <c r="G37" i="4" s="1"/>
  <c r="D36" i="4"/>
  <c r="E36" i="4" s="1"/>
  <c r="G36" i="4" s="1"/>
  <c r="D35" i="4"/>
  <c r="E35" i="4" s="1"/>
  <c r="G35" i="4" s="1"/>
  <c r="D34" i="4"/>
  <c r="E34" i="4" s="1"/>
  <c r="G34" i="4" s="1"/>
  <c r="D33" i="4"/>
  <c r="E33" i="4" s="1"/>
  <c r="G33" i="4" s="1"/>
  <c r="D32" i="4"/>
  <c r="E32" i="4" s="1"/>
  <c r="G32" i="4" s="1"/>
  <c r="D31" i="4"/>
  <c r="E31" i="4" s="1"/>
  <c r="G31" i="4" s="1"/>
  <c r="D30" i="4"/>
  <c r="E30" i="4" s="1"/>
  <c r="G30" i="4" s="1"/>
  <c r="D29" i="4"/>
  <c r="E29" i="4" s="1"/>
  <c r="G29" i="4" s="1"/>
  <c r="D28" i="4"/>
  <c r="E28" i="4" s="1"/>
  <c r="G28" i="4" s="1"/>
  <c r="D27" i="4"/>
  <c r="E27" i="4" s="1"/>
  <c r="G27" i="4" s="1"/>
  <c r="D26" i="4"/>
  <c r="E26" i="4" s="1"/>
  <c r="G26" i="4" s="1"/>
  <c r="D25" i="4"/>
  <c r="E25" i="4" s="1"/>
  <c r="G25" i="4" s="1"/>
  <c r="D24" i="4"/>
  <c r="E24" i="4" s="1"/>
  <c r="G24" i="4" s="1"/>
  <c r="D23" i="4"/>
  <c r="E23" i="4" s="1"/>
  <c r="G23" i="4" s="1"/>
  <c r="D22" i="4"/>
  <c r="E22" i="4" s="1"/>
  <c r="G22" i="4" s="1"/>
  <c r="D21" i="4"/>
  <c r="E21" i="4" s="1"/>
  <c r="G21" i="4" s="1"/>
  <c r="D20" i="4"/>
  <c r="E20" i="4" s="1"/>
  <c r="G20" i="4" s="1"/>
  <c r="D19" i="4"/>
  <c r="E19" i="4" s="1"/>
  <c r="G19" i="4" s="1"/>
  <c r="D18" i="4"/>
  <c r="E18" i="4" s="1"/>
  <c r="G18" i="4" s="1"/>
  <c r="D17" i="4"/>
  <c r="E17" i="4" s="1"/>
  <c r="G17" i="4" s="1"/>
  <c r="D16" i="4"/>
  <c r="E16" i="4" s="1"/>
  <c r="G16" i="4" s="1"/>
  <c r="D15" i="4"/>
  <c r="E15" i="4" s="1"/>
  <c r="G15" i="4" s="1"/>
  <c r="D14" i="4"/>
  <c r="E14" i="4" s="1"/>
  <c r="G14" i="4" s="1"/>
  <c r="D13" i="4"/>
  <c r="E13" i="4" s="1"/>
  <c r="G13" i="4" s="1"/>
  <c r="D12" i="4"/>
  <c r="E12" i="4" s="1"/>
  <c r="G12" i="4" s="1"/>
  <c r="D11" i="4"/>
  <c r="E11" i="4" s="1"/>
  <c r="G11" i="4" s="1"/>
  <c r="D10" i="4"/>
  <c r="E10" i="4" s="1"/>
  <c r="G10" i="4" s="1"/>
  <c r="D9" i="4"/>
  <c r="E9" i="4" s="1"/>
  <c r="G9" i="4" s="1"/>
  <c r="D8" i="4"/>
  <c r="E8" i="4" s="1"/>
  <c r="G8" i="4" s="1"/>
  <c r="I31" i="3"/>
  <c r="I30" i="3"/>
  <c r="P13" i="3"/>
  <c r="Q13" i="3"/>
  <c r="R13" i="3"/>
  <c r="S13" i="3"/>
  <c r="T13" i="3"/>
  <c r="O13" i="3"/>
  <c r="J13" i="3"/>
  <c r="K13" i="3"/>
  <c r="L13" i="3"/>
  <c r="M13" i="3"/>
  <c r="N13" i="3"/>
  <c r="I13" i="3"/>
  <c r="D14" i="3"/>
  <c r="E14" i="3" s="1"/>
  <c r="D49" i="3"/>
  <c r="E49" i="3" s="1"/>
  <c r="D48" i="3"/>
  <c r="E48" i="3" s="1"/>
  <c r="D47" i="3"/>
  <c r="E47" i="3" s="1"/>
  <c r="D46" i="3"/>
  <c r="E46" i="3" s="1"/>
  <c r="D45" i="3"/>
  <c r="E45" i="3" s="1"/>
  <c r="D44" i="3"/>
  <c r="E44" i="3" s="1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C60" i="1"/>
  <c r="O55" i="1"/>
  <c r="O56" i="1"/>
  <c r="O57" i="1"/>
  <c r="O54" i="1"/>
  <c r="N57" i="1"/>
  <c r="N56" i="1"/>
  <c r="N54" i="1"/>
  <c r="N55" i="1"/>
  <c r="E43" i="6" l="1"/>
  <c r="G42" i="6"/>
  <c r="E43" i="3"/>
  <c r="E42" i="3"/>
  <c r="E40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41" i="3"/>
  <c r="E39" i="3"/>
  <c r="E38" i="3"/>
  <c r="E37" i="3"/>
  <c r="E36" i="3"/>
  <c r="E35" i="3"/>
  <c r="E34" i="3"/>
  <c r="E17" i="3"/>
  <c r="E16" i="3"/>
  <c r="E15" i="3"/>
  <c r="U13" i="3"/>
  <c r="V13" i="3" s="1"/>
  <c r="I14" i="3"/>
  <c r="G43" i="6" l="1"/>
  <c r="F43" i="6"/>
  <c r="E44" i="6"/>
  <c r="H43" i="6"/>
  <c r="I43" i="6" s="1"/>
  <c r="P14" i="3"/>
  <c r="Q14" i="3"/>
  <c r="R14" i="3"/>
  <c r="S14" i="3"/>
  <c r="T14" i="3"/>
  <c r="O14" i="3"/>
  <c r="J14" i="3"/>
  <c r="K14" i="3"/>
  <c r="L14" i="3"/>
  <c r="N14" i="3"/>
  <c r="M14" i="3"/>
  <c r="G44" i="6" l="1"/>
  <c r="F44" i="6"/>
  <c r="E45" i="6"/>
  <c r="H44" i="6"/>
  <c r="I44" i="6" s="1"/>
  <c r="L43" i="6"/>
  <c r="J43" i="6"/>
  <c r="U14" i="3"/>
  <c r="V14" i="3" s="1"/>
  <c r="G45" i="6" l="1"/>
  <c r="F45" i="6"/>
  <c r="E46" i="6" s="1"/>
  <c r="H45" i="6"/>
  <c r="I45" i="6" s="1"/>
  <c r="J44" i="6"/>
  <c r="L44" i="6"/>
  <c r="F46" i="6" l="1"/>
  <c r="E47" i="6" s="1"/>
  <c r="G46" i="6"/>
  <c r="H46" i="6"/>
  <c r="I46" i="6" s="1"/>
  <c r="J45" i="6"/>
  <c r="L45" i="6"/>
  <c r="F47" i="6" l="1"/>
  <c r="E48" i="6" s="1"/>
  <c r="G47" i="6"/>
  <c r="H47" i="6"/>
  <c r="I47" i="6" s="1"/>
  <c r="L46" i="6"/>
  <c r="J46" i="6"/>
  <c r="F48" i="6" l="1"/>
  <c r="E49" i="6" s="1"/>
  <c r="G48" i="6"/>
  <c r="H48" i="6"/>
  <c r="I48" i="6" s="1"/>
  <c r="J47" i="6"/>
  <c r="L47" i="6"/>
  <c r="G49" i="6" l="1"/>
  <c r="F49" i="6"/>
  <c r="E50" i="6" s="1"/>
  <c r="H49" i="6"/>
  <c r="I49" i="6" s="1"/>
  <c r="J48" i="6"/>
  <c r="L48" i="6"/>
  <c r="G50" i="6" l="1"/>
  <c r="F50" i="6"/>
  <c r="E51" i="6" s="1"/>
  <c r="H50" i="6"/>
  <c r="I50" i="6" s="1"/>
  <c r="J49" i="6"/>
  <c r="L49" i="6"/>
  <c r="F51" i="6" l="1"/>
  <c r="E52" i="6" s="1"/>
  <c r="G51" i="6"/>
  <c r="H51" i="6"/>
  <c r="I51" i="6" s="1"/>
  <c r="J50" i="6"/>
  <c r="L50" i="6"/>
  <c r="G52" i="6" l="1"/>
  <c r="F52" i="6"/>
  <c r="J51" i="6"/>
  <c r="L51" i="6"/>
  <c r="H52" i="6" l="1"/>
  <c r="I52" i="6" s="1"/>
  <c r="E53" i="6"/>
  <c r="L52" i="6" l="1"/>
  <c r="J52" i="6"/>
  <c r="G53" i="6"/>
  <c r="F53" i="6"/>
  <c r="H53" i="6" l="1"/>
  <c r="I53" i="6" s="1"/>
  <c r="E54" i="6"/>
  <c r="L53" i="6" l="1"/>
  <c r="J53" i="6"/>
  <c r="F54" i="6"/>
  <c r="H54" i="6" s="1"/>
  <c r="I54" i="6" s="1"/>
  <c r="G54" i="6"/>
  <c r="E55" i="6"/>
  <c r="J54" i="6" l="1"/>
  <c r="L54" i="6"/>
  <c r="G55" i="6"/>
  <c r="F55" i="6"/>
  <c r="H55" i="6" s="1"/>
  <c r="I55" i="6" s="1"/>
  <c r="E56" i="6"/>
  <c r="J55" i="6" l="1"/>
  <c r="L55" i="6"/>
  <c r="F56" i="6"/>
  <c r="E57" i="6" s="1"/>
  <c r="G56" i="6"/>
  <c r="H56" i="6" s="1"/>
  <c r="I56" i="6" s="1"/>
  <c r="G57" i="6" l="1"/>
  <c r="F57" i="6"/>
  <c r="J56" i="6"/>
  <c r="L56" i="6"/>
  <c r="H57" i="6" l="1"/>
  <c r="I57" i="6" s="1"/>
  <c r="E58" i="6"/>
  <c r="L57" i="6" l="1"/>
  <c r="J57" i="6"/>
  <c r="F58" i="6"/>
  <c r="G58" i="6"/>
  <c r="E59" i="6"/>
  <c r="H58" i="6"/>
  <c r="I58" i="6" s="1"/>
  <c r="G59" i="6" l="1"/>
  <c r="F59" i="6"/>
  <c r="L58" i="6"/>
  <c r="J58" i="6"/>
  <c r="H59" i="6" l="1"/>
  <c r="I59" i="6" s="1"/>
  <c r="E60" i="6"/>
  <c r="J59" i="6" l="1"/>
  <c r="L59" i="6"/>
  <c r="F60" i="6"/>
  <c r="G60" i="6"/>
  <c r="E61" i="6"/>
  <c r="H60" i="6"/>
  <c r="I60" i="6" s="1"/>
  <c r="G61" i="6" l="1"/>
  <c r="F61" i="6"/>
  <c r="L60" i="6"/>
  <c r="J60" i="6"/>
  <c r="E62" i="6" l="1"/>
  <c r="H61" i="6"/>
  <c r="I61" i="6" s="1"/>
  <c r="F62" i="6" l="1"/>
  <c r="G62" i="6"/>
  <c r="J61" i="6"/>
  <c r="L61" i="6"/>
  <c r="E63" i="6" l="1"/>
  <c r="H62" i="6"/>
  <c r="I62" i="6" s="1"/>
  <c r="F63" i="6" l="1"/>
  <c r="E64" i="6" s="1"/>
  <c r="G63" i="6"/>
  <c r="H63" i="6"/>
  <c r="I63" i="6" s="1"/>
  <c r="J62" i="6"/>
  <c r="L62" i="6"/>
  <c r="F64" i="6" l="1"/>
  <c r="E65" i="6" s="1"/>
  <c r="G64" i="6"/>
  <c r="H64" i="6" s="1"/>
  <c r="I64" i="6" s="1"/>
  <c r="L63" i="6"/>
  <c r="J63" i="6"/>
  <c r="F65" i="6" l="1"/>
  <c r="E66" i="6" s="1"/>
  <c r="G65" i="6"/>
  <c r="H65" i="6" s="1"/>
  <c r="I65" i="6" s="1"/>
  <c r="L64" i="6"/>
  <c r="J64" i="6"/>
  <c r="F66" i="6" l="1"/>
  <c r="E67" i="6" s="1"/>
  <c r="G66" i="6"/>
  <c r="H66" i="6" s="1"/>
  <c r="I66" i="6" s="1"/>
  <c r="L65" i="6"/>
  <c r="J65" i="6"/>
  <c r="F67" i="6" l="1"/>
  <c r="E68" i="6" s="1"/>
  <c r="G67" i="6"/>
  <c r="H67" i="6" s="1"/>
  <c r="I67" i="6" s="1"/>
  <c r="L66" i="6"/>
  <c r="J66" i="6"/>
  <c r="G68" i="6" l="1"/>
  <c r="F68" i="6"/>
  <c r="J67" i="6"/>
  <c r="L67" i="6"/>
  <c r="H68" i="6" l="1"/>
  <c r="I68" i="6" s="1"/>
  <c r="E69" i="6"/>
  <c r="J68" i="6" l="1"/>
  <c r="L68" i="6"/>
  <c r="F69" i="6"/>
  <c r="G69" i="6"/>
  <c r="E70" i="6"/>
  <c r="H69" i="6"/>
  <c r="I69" i="6" s="1"/>
  <c r="G70" i="6" l="1"/>
  <c r="F70" i="6"/>
  <c r="L69" i="6"/>
  <c r="J69" i="6"/>
  <c r="H70" i="6" l="1"/>
  <c r="I70" i="6" s="1"/>
  <c r="E71" i="6"/>
  <c r="J70" i="6" l="1"/>
  <c r="L70" i="6"/>
  <c r="F71" i="6"/>
  <c r="G71" i="6"/>
  <c r="E72" i="6"/>
  <c r="H71" i="6"/>
  <c r="I71" i="6" s="1"/>
  <c r="G72" i="6" l="1"/>
  <c r="F72" i="6"/>
  <c r="L71" i="6"/>
  <c r="J71" i="6"/>
  <c r="H72" i="6" l="1"/>
  <c r="I72" i="6" s="1"/>
  <c r="E73" i="6"/>
  <c r="L72" i="6" l="1"/>
  <c r="J72" i="6"/>
  <c r="F73" i="6"/>
  <c r="G73" i="6"/>
  <c r="E74" i="6"/>
  <c r="H73" i="6"/>
  <c r="I73" i="6" s="1"/>
  <c r="E75" i="6" l="1"/>
  <c r="G74" i="6"/>
  <c r="H74" i="6" s="1"/>
  <c r="I74" i="6" s="1"/>
  <c r="F74" i="6"/>
  <c r="J73" i="6"/>
  <c r="L73" i="6"/>
  <c r="J74" i="6" l="1"/>
  <c r="L74" i="6"/>
  <c r="H75" i="6"/>
  <c r="I75" i="6" s="1"/>
  <c r="E76" i="6"/>
  <c r="G75" i="6"/>
  <c r="F75" i="6"/>
  <c r="J75" i="6" l="1"/>
  <c r="L75" i="6"/>
  <c r="H76" i="6"/>
  <c r="I76" i="6" s="1"/>
  <c r="E77" i="6"/>
  <c r="G76" i="6"/>
  <c r="J76" i="6" l="1"/>
  <c r="L76" i="6"/>
  <c r="H77" i="6"/>
  <c r="I77" i="6" s="1"/>
  <c r="E78" i="6"/>
  <c r="G77" i="6"/>
  <c r="F77" i="6"/>
  <c r="J77" i="6" l="1"/>
  <c r="L77" i="6"/>
  <c r="G78" i="6"/>
  <c r="F78" i="6"/>
  <c r="E79" i="6" l="1"/>
  <c r="H78" i="6"/>
  <c r="I78" i="6" s="1"/>
  <c r="G79" i="6" l="1"/>
  <c r="F79" i="6"/>
  <c r="E80" i="6"/>
  <c r="H79" i="6"/>
  <c r="I79" i="6" s="1"/>
  <c r="J78" i="6"/>
  <c r="L78" i="6"/>
  <c r="F80" i="6" l="1"/>
  <c r="G80" i="6"/>
  <c r="L79" i="6"/>
  <c r="J79" i="6"/>
  <c r="H80" i="6" l="1"/>
  <c r="I80" i="6" s="1"/>
  <c r="E81" i="6"/>
  <c r="J80" i="6" l="1"/>
  <c r="L80" i="6"/>
  <c r="G81" i="6"/>
  <c r="F81" i="6"/>
  <c r="H81" i="6"/>
  <c r="I81" i="6" s="1"/>
  <c r="E82" i="6"/>
  <c r="L81" i="6" l="1"/>
  <c r="J81" i="6"/>
  <c r="E83" i="6"/>
  <c r="G82" i="6"/>
  <c r="H82" i="6" s="1"/>
  <c r="I82" i="6" s="1"/>
  <c r="F82" i="6"/>
  <c r="L82" i="6" l="1"/>
  <c r="J82" i="6"/>
  <c r="E84" i="6"/>
  <c r="H83" i="6"/>
  <c r="I83" i="6" s="1"/>
  <c r="F83" i="6"/>
  <c r="G83" i="6"/>
  <c r="G84" i="6" l="1"/>
  <c r="F84" i="6"/>
  <c r="L83" i="6"/>
  <c r="J83" i="6"/>
  <c r="H84" i="6" l="1"/>
  <c r="I84" i="6" s="1"/>
  <c r="E85" i="6"/>
  <c r="J84" i="6" l="1"/>
  <c r="L84" i="6"/>
  <c r="G85" i="6"/>
  <c r="F85" i="6"/>
  <c r="E86" i="6"/>
  <c r="H85" i="6"/>
  <c r="I85" i="6" s="1"/>
  <c r="G86" i="6" l="1"/>
  <c r="F86" i="6"/>
  <c r="L85" i="6"/>
  <c r="J85" i="6"/>
  <c r="H86" i="6" l="1"/>
  <c r="I86" i="6" s="1"/>
  <c r="E87" i="6"/>
  <c r="J86" i="6" l="1"/>
  <c r="L86" i="6"/>
  <c r="F87" i="6"/>
  <c r="G87" i="6"/>
  <c r="H87" i="6" l="1"/>
  <c r="I87" i="6" s="1"/>
  <c r="E88" i="6"/>
  <c r="J87" i="6" l="1"/>
  <c r="L87" i="6"/>
  <c r="G88" i="6"/>
  <c r="H88" i="6" s="1"/>
  <c r="I88" i="6" s="1"/>
  <c r="F88" i="6"/>
  <c r="E89" i="6" s="1"/>
  <c r="G89" i="6" l="1"/>
  <c r="F89" i="6"/>
  <c r="H89" i="6" s="1"/>
  <c r="I89" i="6" s="1"/>
  <c r="L88" i="6"/>
  <c r="J88" i="6"/>
  <c r="L89" i="6" l="1"/>
  <c r="J89" i="6"/>
  <c r="I42" i="6"/>
  <c r="J42" i="6"/>
  <c r="L42" i="6"/>
  <c r="C91" i="6"/>
  <c r="C92" i="6"/>
</calcChain>
</file>

<file path=xl/sharedStrings.xml><?xml version="1.0" encoding="utf-8"?>
<sst xmlns="http://schemas.openxmlformats.org/spreadsheetml/2006/main" count="656" uniqueCount="230">
  <si>
    <t>Date</t>
  </si>
  <si>
    <t>Valeur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</si>
  <si>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</si>
  <si>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</si>
  <si>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</si>
  <si>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</si>
  <si>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</si>
  <si>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</si>
  <si>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</si>
  <si>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</si>
  <si>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</si>
  <si>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</si>
  <si>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</si>
  <si>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</si>
  <si>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</si>
  <si>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</si>
  <si>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</si>
  <si>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</si>
  <si>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</si>
  <si>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</si>
  <si>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</si>
  <si>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</si>
  <si>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</si>
  <si>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</si>
  <si>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</si>
  <si>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</si>
  <si>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</si>
  <si>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</si>
  <si>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</si>
  <si>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</si>
  <si>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</si>
  <si>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</si>
  <si>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</si>
  <si>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</si>
  <si>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</si>
  <si>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</si>
  <si>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</si>
  <si>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</si>
  <si>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</si>
  <si>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</si>
  <si>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</si>
  <si>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</si>
  <si>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</si>
  <si>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</si>
  <si>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</si>
  <si>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</si>
  <si>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</si>
  <si>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</si>
  <si>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</si>
  <si>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</si>
  <si>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Xt</t>
  </si>
  <si>
    <t>Annees</t>
  </si>
  <si>
    <t>Moyenne</t>
  </si>
  <si>
    <t>Ecartype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</si>
  <si>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</si>
  <si>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</si>
  <si>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</si>
  <si>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</si>
  <si>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</si>
  <si>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</si>
  <si>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</si>
  <si>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</si>
  <si>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</si>
  <si>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</si>
  <si>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</si>
  <si>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</si>
  <si>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a=</t>
  </si>
  <si>
    <t>Zt (MM12C)</t>
  </si>
  <si>
    <t xml:space="preserve">Zt </t>
  </si>
  <si>
    <t>St</t>
  </si>
  <si>
    <t>Xt-Zt</t>
  </si>
  <si>
    <t>annee</t>
  </si>
  <si>
    <t>Somme</t>
  </si>
  <si>
    <t>Coef.Sai</t>
  </si>
  <si>
    <t>Coef.Sai.Corr</t>
  </si>
  <si>
    <t>correction</t>
  </si>
  <si>
    <t>Mois</t>
  </si>
  <si>
    <t>Coef Saisonnier</t>
  </si>
  <si>
    <t>moyenne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</si>
  <si>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</si>
  <si>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</si>
  <si>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</si>
  <si>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</si>
  <si>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</si>
  <si>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</si>
  <si>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</si>
  <si>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</si>
  <si>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</si>
  <si>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</si>
  <si>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</si>
  <si>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</si>
  <si>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Et</t>
  </si>
  <si>
    <t>Ecart-type</t>
  </si>
  <si>
    <t>minimum</t>
  </si>
  <si>
    <t>maximum</t>
  </si>
  <si>
    <t>α (alpha)</t>
  </si>
  <si>
    <t>β (bêta)</t>
  </si>
  <si>
    <t>γ (gamma)</t>
  </si>
  <si>
    <t>periode</t>
  </si>
  <si>
    <t>param</t>
  </si>
  <si>
    <t>valeur</t>
  </si>
  <si>
    <t>Role</t>
  </si>
  <si>
    <t>Lissage de Niveau</t>
  </si>
  <si>
    <t>Lissage de la saisonnalite</t>
  </si>
  <si>
    <t>Lissage de la tendance</t>
  </si>
  <si>
    <t>Periode saisonniere</t>
  </si>
  <si>
    <t>Justification</t>
  </si>
  <si>
    <t xml:space="preserve">Faible : la tendance évolue lentement </t>
  </si>
  <si>
    <t>Modéré : les coefficients saisonniers sont assez stables</t>
  </si>
  <si>
    <t>Valeur qui minimise la sommes des carres des erreurs</t>
  </si>
  <si>
    <t>repetition de motif apres 1 ans</t>
  </si>
  <si>
    <t>L₀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</si>
  <si>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</si>
  <si>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</si>
  <si>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</si>
  <si>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</si>
  <si>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</si>
  <si>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</si>
  <si>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</si>
  <si>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</si>
  <si>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</si>
  <si>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</si>
  <si>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</si>
  <si>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</si>
  <si>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niveau initial</t>
  </si>
  <si>
    <t>tendance initiale</t>
  </si>
  <si>
    <t xml:space="preserve">T₀ </t>
  </si>
  <si>
    <t>coefficients saisonniers corriges</t>
  </si>
  <si>
    <t>Niveau</t>
  </si>
  <si>
    <t>L(t) = α·[Y(t)−S(t−p)] + (1−α)·[L(t−1)+T(t−1)]</t>
  </si>
  <si>
    <t>Tendance</t>
  </si>
  <si>
    <t>T(t) = β·[L(t)−L(t−1)] + (1−β)·T(t−1)</t>
  </si>
  <si>
    <t>Saisonnalité</t>
  </si>
  <si>
    <t>S(t) = γ·[Y(t)−L(t)]   + (1−γ)·S(t−p)</t>
  </si>
  <si>
    <t>Prévision</t>
  </si>
  <si>
    <t>Ŷ(t+h) = L(t) + h·T(t) + S(t+h−p)</t>
  </si>
  <si>
    <t>Formule de la methode de Holt Winster</t>
  </si>
  <si>
    <t>N°</t>
  </si>
  <si>
    <t>L(t)
Niveau</t>
  </si>
  <si>
    <t>T(t)
Tendance</t>
  </si>
  <si>
    <t>S(t)
Saisonnalité</t>
  </si>
  <si>
    <t>Ŷ(t)
Prévision</t>
  </si>
  <si>
    <t>X(t)</t>
  </si>
  <si>
    <t>Jan-2020</t>
  </si>
  <si>
    <t>Fév-2020</t>
  </si>
  <si>
    <t>Mar-2020</t>
  </si>
  <si>
    <t>Avr-2020</t>
  </si>
  <si>
    <t>Mai-2020</t>
  </si>
  <si>
    <t>Jun-2020</t>
  </si>
  <si>
    <t>Jul-2020</t>
  </si>
  <si>
    <t>Aoû-2020</t>
  </si>
  <si>
    <t>Sep-2020</t>
  </si>
  <si>
    <t>Oct-2020</t>
  </si>
  <si>
    <t>Nov-2020</t>
  </si>
  <si>
    <t>Déc-2020</t>
  </si>
  <si>
    <t>Jan-2021</t>
  </si>
  <si>
    <t>Fév-2021</t>
  </si>
  <si>
    <t>Mar-2021</t>
  </si>
  <si>
    <t>Avr-2021</t>
  </si>
  <si>
    <t>Mai-2021</t>
  </si>
  <si>
    <t>Jun-2021</t>
  </si>
  <si>
    <t>Jul-2021</t>
  </si>
  <si>
    <t>Aoû-2021</t>
  </si>
  <si>
    <t>Sep-2021</t>
  </si>
  <si>
    <t>Oct-2021</t>
  </si>
  <si>
    <t>Nov-2021</t>
  </si>
  <si>
    <t>Déc-2021</t>
  </si>
  <si>
    <t>Jan-2022</t>
  </si>
  <si>
    <t>Fév-2022</t>
  </si>
  <si>
    <t>Mar-2022</t>
  </si>
  <si>
    <t>Avr-2022</t>
  </si>
  <si>
    <t>Mai-2022</t>
  </si>
  <si>
    <t>Jun-2022</t>
  </si>
  <si>
    <t>Jul-2022</t>
  </si>
  <si>
    <t>Aoû-2022</t>
  </si>
  <si>
    <t>Sep-2022</t>
  </si>
  <si>
    <t>Oct-2022</t>
  </si>
  <si>
    <t>Nov-2022</t>
  </si>
  <si>
    <t>Déc-2022</t>
  </si>
  <si>
    <t>Jan-2023</t>
  </si>
  <si>
    <t>Fév-2023</t>
  </si>
  <si>
    <t>Mar-2023</t>
  </si>
  <si>
    <t>Avr-2023</t>
  </si>
  <si>
    <t>Mai-2023</t>
  </si>
  <si>
    <t>Jun-2023</t>
  </si>
  <si>
    <t>Jul-2023</t>
  </si>
  <si>
    <t>Aoû-2023</t>
  </si>
  <si>
    <t>Sep-2023</t>
  </si>
  <si>
    <t>Oct-2023</t>
  </si>
  <si>
    <t>Nov-2023</t>
  </si>
  <si>
    <t>Déc-2023</t>
  </si>
  <si>
    <t>N</t>
  </si>
  <si>
    <t>Ordonne a origne de Xt =Lo +t*To</t>
  </si>
  <si>
    <t>pente de Xt =Lo +t*To</t>
  </si>
  <si>
    <t>Erreur
Xt−Ŷ</t>
  </si>
  <si>
    <t>Erreur*2</t>
  </si>
  <si>
    <t>coef.saison</t>
  </si>
  <si>
    <t>QUALITÉ</t>
  </si>
  <si>
    <t>Indicateur</t>
  </si>
  <si>
    <t>Interprétation</t>
  </si>
  <si>
    <t>MAE</t>
  </si>
  <si>
    <t>Erreur Absolue Moyenne</t>
  </si>
  <si>
    <t>Erreur moyenne en valeur absolue</t>
  </si>
  <si>
    <t>RMSE</t>
  </si>
  <si>
    <t>Racine Erreur Quadratique Moyenne</t>
  </si>
  <si>
    <t>Pénalise davantage les grandes erreurs</t>
  </si>
  <si>
    <t>|Erreur|</t>
  </si>
  <si>
    <t xml:space="preserve">  D) Prévisions pour les 12 mois futurs (Jan-2024 à Déc-2024)</t>
  </si>
  <si>
    <t>Formule : Ŷ(48+h) = L₄₈ + h·T₄₈ + S_mois    avec L₄₈=105.0604  et  T₄₈=-0.064102</t>
  </si>
  <si>
    <t>h
Horizon</t>
  </si>
  <si>
    <t>Date
Mois prévu</t>
  </si>
  <si>
    <t>L₄₈
Niveau final</t>
  </si>
  <si>
    <t>h × T₄₈
Contribution tendance</t>
  </si>
  <si>
    <t>S_mois
Coeff. saisonnier</t>
  </si>
  <si>
    <t>Ŷ(48+h)
PRÉVISION</t>
  </si>
  <si>
    <t>Jan-2024</t>
  </si>
  <si>
    <t>Fév-2024</t>
  </si>
  <si>
    <t>Mar-2024</t>
  </si>
  <si>
    <t>Avr-2024</t>
  </si>
  <si>
    <t>Mai-2024</t>
  </si>
  <si>
    <t>Jun-2024</t>
  </si>
  <si>
    <t>Jul-2024</t>
  </si>
  <si>
    <t>Aoû-2024</t>
  </si>
  <si>
    <t>Sep-2024</t>
  </si>
  <si>
    <t>Oct-2024</t>
  </si>
  <si>
    <t>Nov-2024</t>
  </si>
  <si>
    <t>Déc-2024</t>
  </si>
  <si>
    <t>Ŷ(t) ajusté</t>
  </si>
  <si>
    <t>Prévision 2024</t>
  </si>
  <si>
    <t>X(t) observé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</si>
</sst>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12C0C]dd/mm/yyyy;@"/>
    <numFmt numFmtId="165" formatCode="0.000"/>
    <numFmt numFmtId="166" formatCode="0.0000"/>
    <numFmt numFmtId="167" formatCode="0.00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i/>
      <sz val="9"/>
      <color rgb="FF000000"/>
      <name val="Arial"/>
      <family val="2"/>
    </font>
    <font>
      <i/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375623"/>
      <name val="Arial"/>
      <family val="2"/>
    </font>
    <font>
      <b/>
      <sz val="11"/>
      <color rgb="FF375623"/>
      <name val="Arial"/>
      <family val="2"/>
    </font>
    <font>
      <b/>
      <sz val="14"/>
      <color theme="4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10"/>
      <color rgb="FF000000"/>
      <name val="Arial"/>
      <family val="2"/>
    </font>
    <font>
      <i/>
      <sz val="10"/>
      <name val="Arial"/>
      <family val="2"/>
    </font>
    <font>
      <sz val="10"/>
      <color rgb="FFC00000"/>
      <name val="Arial"/>
      <family val="2"/>
    </font>
    <font>
      <b/>
      <sz val="11"/>
      <name val="Cambria"/>
      <family val="1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1F4E79"/>
        <bgColor rgb="FF2F5496"/>
      </patternFill>
    </fill>
    <fill>
      <patternFill patternType="solid">
        <fgColor rgb="FF7030A0"/>
        <bgColor rgb="FF993366"/>
      </patternFill>
    </fill>
    <fill>
      <patternFill patternType="solid">
        <fgColor theme="5" tint="0.39997558519241921"/>
        <bgColor rgb="FF2F5496"/>
      </patternFill>
    </fill>
    <fill>
      <patternFill patternType="solid">
        <fgColor theme="4"/>
        <bgColor rgb="FF993366"/>
      </patternFill>
    </fill>
    <fill>
      <patternFill patternType="solid">
        <fgColor theme="8"/>
        <bgColor rgb="FFFF0000"/>
      </patternFill>
    </fill>
    <fill>
      <patternFill patternType="solid">
        <fgColor theme="7" tint="-0.249977111117893"/>
        <bgColor rgb="FF2F5496"/>
      </patternFill>
    </fill>
    <fill>
      <patternFill patternType="solid">
        <fgColor rgb="FFED7D31"/>
        <bgColor rgb="FFFF8080"/>
      </patternFill>
    </fill>
    <fill>
      <patternFill patternType="solid">
        <fgColor rgb="FFE8D5F5"/>
        <bgColor rgb="FFD9D9D9"/>
      </patternFill>
    </fill>
    <fill>
      <patternFill patternType="solid">
        <fgColor rgb="FFF3E8FF"/>
        <bgColor rgb="FFF2F2F2"/>
      </patternFill>
    </fill>
    <fill>
      <patternFill patternType="solid">
        <fgColor rgb="FF7030A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/>
      <diagonal/>
    </border>
    <border>
      <left style="thin">
        <color rgb="FF2E75B6"/>
      </left>
      <right/>
      <top style="thin">
        <color rgb="FF2E75B6"/>
      </top>
      <bottom/>
      <diagonal/>
    </border>
    <border>
      <left style="thin">
        <color rgb="FF2E75B6"/>
      </left>
      <right style="thin">
        <color rgb="FF2E75B6"/>
      </right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164" fontId="0" fillId="0" borderId="4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5" xfId="0" applyBorder="1"/>
    <xf numFmtId="0" fontId="0" fillId="6" borderId="1" xfId="0" applyFill="1" applyBorder="1"/>
    <xf numFmtId="164" fontId="0" fillId="0" borderId="2" xfId="0" applyNumberFormat="1" applyBorder="1"/>
    <xf numFmtId="164" fontId="0" fillId="0" borderId="7" xfId="0" applyNumberFormat="1" applyBorder="1"/>
    <xf numFmtId="0" fontId="7" fillId="8" borderId="3" xfId="0" applyFont="1" applyFill="1" applyBorder="1"/>
    <xf numFmtId="2" fontId="0" fillId="0" borderId="3" xfId="0" applyNumberFormat="1" applyBorder="1" applyAlignment="1">
      <alignment horizontal="left" indent="1"/>
    </xf>
    <xf numFmtId="0" fontId="0" fillId="8" borderId="3" xfId="0" applyFill="1" applyBorder="1"/>
    <xf numFmtId="0" fontId="7" fillId="8" borderId="1" xfId="0" applyFont="1" applyFill="1" applyBorder="1"/>
    <xf numFmtId="0" fontId="0" fillId="8" borderId="1" xfId="0" applyFill="1" applyBorder="1"/>
    <xf numFmtId="165" fontId="0" fillId="0" borderId="1" xfId="0" applyNumberFormat="1" applyBorder="1"/>
    <xf numFmtId="2" fontId="0" fillId="0" borderId="1" xfId="0" applyNumberFormat="1" applyBorder="1"/>
    <xf numFmtId="0" fontId="0" fillId="10" borderId="0" xfId="0" applyFill="1"/>
    <xf numFmtId="0" fontId="2" fillId="9" borderId="1" xfId="0" applyFont="1" applyFill="1" applyBorder="1"/>
    <xf numFmtId="165" fontId="7" fillId="0" borderId="0" xfId="0" applyNumberFormat="1" applyFont="1"/>
    <xf numFmtId="165" fontId="0" fillId="0" borderId="0" xfId="0" applyNumberFormat="1"/>
    <xf numFmtId="0" fontId="0" fillId="10" borderId="1" xfId="0" applyFill="1" applyBorder="1"/>
    <xf numFmtId="0" fontId="8" fillId="0" borderId="1" xfId="0" applyFont="1" applyBorder="1"/>
    <xf numFmtId="0" fontId="8" fillId="11" borderId="1" xfId="0" applyFont="1" applyFill="1" applyBorder="1"/>
    <xf numFmtId="0" fontId="0" fillId="12" borderId="1" xfId="0" applyFill="1" applyBorder="1"/>
    <xf numFmtId="0" fontId="8" fillId="0" borderId="1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5" fillId="0" borderId="1" xfId="0" applyFont="1" applyBorder="1"/>
    <xf numFmtId="165" fontId="7" fillId="0" borderId="1" xfId="0" applyNumberFormat="1" applyFont="1" applyBorder="1"/>
    <xf numFmtId="2" fontId="0" fillId="8" borderId="1" xfId="0" applyNumberFormat="1" applyFill="1" applyBorder="1"/>
    <xf numFmtId="2" fontId="0" fillId="0" borderId="0" xfId="0" applyNumberFormat="1"/>
    <xf numFmtId="165" fontId="0" fillId="8" borderId="8" xfId="0" applyNumberFormat="1" applyFill="1" applyBorder="1"/>
    <xf numFmtId="2" fontId="0" fillId="0" borderId="8" xfId="0" applyNumberFormat="1" applyBorder="1"/>
    <xf numFmtId="2" fontId="0" fillId="8" borderId="3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13" borderId="1" xfId="0" applyFill="1" applyBorder="1"/>
    <xf numFmtId="0" fontId="10" fillId="14" borderId="13" xfId="0" applyFont="1" applyFill="1" applyBorder="1" applyAlignment="1">
      <alignment horizontal="left" vertical="center"/>
    </xf>
    <xf numFmtId="0" fontId="10" fillId="16" borderId="13" xfId="0" applyFont="1" applyFill="1" applyBorder="1" applyAlignment="1">
      <alignment horizontal="left" vertical="center"/>
    </xf>
    <xf numFmtId="165" fontId="7" fillId="4" borderId="1" xfId="0" applyNumberFormat="1" applyFont="1" applyFill="1" applyBorder="1"/>
    <xf numFmtId="165" fontId="5" fillId="4" borderId="1" xfId="0" applyNumberFormat="1" applyFont="1" applyFill="1" applyBorder="1"/>
    <xf numFmtId="165" fontId="5" fillId="0" borderId="1" xfId="0" applyNumberFormat="1" applyFont="1" applyBorder="1"/>
    <xf numFmtId="0" fontId="11" fillId="0" borderId="14" xfId="0" applyFont="1" applyBorder="1" applyAlignment="1">
      <alignment horizontal="left" vertical="center"/>
    </xf>
    <xf numFmtId="167" fontId="10" fillId="15" borderId="14" xfId="0" applyNumberFormat="1" applyFont="1" applyFill="1" applyBorder="1" applyAlignment="1">
      <alignment horizontal="center" vertical="center"/>
    </xf>
    <xf numFmtId="165" fontId="7" fillId="4" borderId="3" xfId="0" applyNumberFormat="1" applyFont="1" applyFill="1" applyBorder="1"/>
    <xf numFmtId="0" fontId="11" fillId="0" borderId="15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9" fillId="18" borderId="13" xfId="0" applyFont="1" applyFill="1" applyBorder="1" applyAlignment="1">
      <alignment horizontal="center" vertical="center" wrapText="1"/>
    </xf>
    <xf numFmtId="0" fontId="19" fillId="19" borderId="13" xfId="0" applyFont="1" applyFill="1" applyBorder="1" applyAlignment="1">
      <alignment horizontal="center" vertical="center" wrapText="1"/>
    </xf>
    <xf numFmtId="0" fontId="19" fillId="20" borderId="13" xfId="0" applyFont="1" applyFill="1" applyBorder="1" applyAlignment="1">
      <alignment horizontal="center" vertical="center" wrapText="1"/>
    </xf>
    <xf numFmtId="0" fontId="19" fillId="21" borderId="13" xfId="0" applyFont="1" applyFill="1" applyBorder="1" applyAlignment="1">
      <alignment horizontal="center" vertical="center" wrapText="1"/>
    </xf>
    <xf numFmtId="0" fontId="20" fillId="14" borderId="16" xfId="0" applyFont="1" applyFill="1" applyBorder="1" applyAlignment="1">
      <alignment horizontal="center" vertical="center"/>
    </xf>
    <xf numFmtId="0" fontId="20" fillId="16" borderId="16" xfId="0" applyFont="1" applyFill="1" applyBorder="1" applyAlignment="1">
      <alignment horizontal="center" vertical="center"/>
    </xf>
    <xf numFmtId="0" fontId="20" fillId="14" borderId="14" xfId="0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7" xfId="0" applyFont="1" applyFill="1" applyBorder="1" applyAlignment="1">
      <alignment horizontal="center" vertical="center"/>
    </xf>
    <xf numFmtId="0" fontId="20" fillId="16" borderId="18" xfId="0" applyFont="1" applyFill="1" applyBorder="1" applyAlignment="1">
      <alignment horizontal="center" vertical="center"/>
    </xf>
    <xf numFmtId="0" fontId="10" fillId="15" borderId="14" xfId="0" applyFont="1" applyFill="1" applyBorder="1" applyAlignment="1">
      <alignment horizontal="center" vertical="center"/>
    </xf>
    <xf numFmtId="0" fontId="7" fillId="4" borderId="3" xfId="0" applyFont="1" applyFill="1" applyBorder="1"/>
    <xf numFmtId="17" fontId="0" fillId="0" borderId="0" xfId="0" applyNumberFormat="1"/>
    <xf numFmtId="17" fontId="20" fillId="16" borderId="14" xfId="0" applyNumberFormat="1" applyFont="1" applyFill="1" applyBorder="1" applyAlignment="1">
      <alignment horizontal="center" vertical="center"/>
    </xf>
    <xf numFmtId="0" fontId="14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64" fontId="4" fillId="0" borderId="1" xfId="0" applyNumberFormat="1" applyFont="1" applyBorder="1"/>
    <xf numFmtId="164" fontId="5" fillId="4" borderId="1" xfId="0" applyNumberFormat="1" applyFont="1" applyFill="1" applyBorder="1"/>
    <xf numFmtId="164" fontId="5" fillId="0" borderId="1" xfId="0" applyNumberFormat="1" applyFont="1" applyBorder="1"/>
    <xf numFmtId="164" fontId="5" fillId="0" borderId="8" xfId="0" applyNumberFormat="1" applyFont="1" applyBorder="1"/>
    <xf numFmtId="0" fontId="5" fillId="0" borderId="8" xfId="0" applyFont="1" applyBorder="1"/>
    <xf numFmtId="167" fontId="0" fillId="0" borderId="0" xfId="0" applyNumberFormat="1"/>
    <xf numFmtId="0" fontId="19" fillId="22" borderId="19" xfId="0" applyFont="1" applyFill="1" applyBorder="1" applyAlignment="1">
      <alignment horizontal="center" vertical="center" wrapText="1"/>
    </xf>
    <xf numFmtId="0" fontId="21" fillId="17" borderId="13" xfId="0" applyFont="1" applyFill="1" applyBorder="1" applyAlignment="1">
      <alignment horizontal="center" vertical="center"/>
    </xf>
    <xf numFmtId="0" fontId="21" fillId="23" borderId="13" xfId="0" applyFont="1" applyFill="1" applyBorder="1" applyAlignment="1">
      <alignment horizontal="center" vertical="center"/>
    </xf>
    <xf numFmtId="0" fontId="10" fillId="15" borderId="13" xfId="0" applyFont="1" applyFill="1" applyBorder="1" applyAlignment="1">
      <alignment horizontal="center" vertical="center"/>
    </xf>
    <xf numFmtId="0" fontId="20" fillId="25" borderId="13" xfId="0" applyFont="1" applyFill="1" applyBorder="1" applyAlignment="1">
      <alignment horizontal="center" vertical="center"/>
    </xf>
    <xf numFmtId="0" fontId="10" fillId="25" borderId="13" xfId="0" applyFont="1" applyFill="1" applyBorder="1" applyAlignment="1">
      <alignment horizontal="center" vertical="center"/>
    </xf>
    <xf numFmtId="166" fontId="20" fillId="25" borderId="13" xfId="0" applyNumberFormat="1" applyFont="1" applyFill="1" applyBorder="1" applyAlignment="1">
      <alignment horizontal="center" vertical="center"/>
    </xf>
    <xf numFmtId="166" fontId="24" fillId="25" borderId="13" xfId="0" applyNumberFormat="1" applyFont="1" applyFill="1" applyBorder="1" applyAlignment="1">
      <alignment horizontal="center" vertical="center"/>
    </xf>
    <xf numFmtId="0" fontId="20" fillId="24" borderId="13" xfId="0" applyFont="1" applyFill="1" applyBorder="1" applyAlignment="1">
      <alignment horizontal="center" vertical="center"/>
    </xf>
    <xf numFmtId="0" fontId="10" fillId="24" borderId="13" xfId="0" applyFont="1" applyFill="1" applyBorder="1" applyAlignment="1">
      <alignment horizontal="center" vertical="center"/>
    </xf>
    <xf numFmtId="0" fontId="19" fillId="18" borderId="14" xfId="0" applyFont="1" applyFill="1" applyBorder="1" applyAlignment="1">
      <alignment horizontal="center" vertical="center" wrapText="1"/>
    </xf>
    <xf numFmtId="2" fontId="9" fillId="18" borderId="1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/>
    </xf>
    <xf numFmtId="0" fontId="0" fillId="3" borderId="0" xfId="0" applyFill="1"/>
    <xf numFmtId="0" fontId="25" fillId="3" borderId="1" xfId="0" applyFont="1" applyFill="1" applyBorder="1"/>
    <xf numFmtId="0" fontId="0" fillId="7" borderId="1" xfId="0" applyFill="1" applyBorder="1"/>
    <xf numFmtId="165" fontId="0" fillId="5" borderId="1" xfId="0" applyNumberFormat="1" applyFill="1" applyBorder="1"/>
    <xf numFmtId="0" fontId="0" fillId="26" borderId="1" xfId="0" applyFill="1" applyBorder="1"/>
    <xf numFmtId="2" fontId="9" fillId="18" borderId="1" xfId="0" applyNumberFormat="1" applyFont="1" applyFill="1" applyBorder="1" applyAlignment="1">
      <alignment horizontal="center" vertical="center"/>
    </xf>
    <xf numFmtId="0" fontId="22" fillId="14" borderId="14" xfId="0" applyFont="1" applyFill="1" applyBorder="1" applyAlignment="1">
      <alignment horizontal="left" vertical="center"/>
    </xf>
    <xf numFmtId="0" fontId="22" fillId="16" borderId="14" xfId="0" applyFont="1" applyFill="1" applyBorder="1" applyAlignment="1">
      <alignment horizontal="left" vertical="center"/>
    </xf>
    <xf numFmtId="0" fontId="9" fillId="18" borderId="0" xfId="0" applyFont="1" applyFill="1" applyAlignment="1">
      <alignment horizontal="left" vertical="center"/>
    </xf>
    <xf numFmtId="0" fontId="23" fillId="24" borderId="0" xfId="0" applyFont="1" applyFill="1" applyAlignment="1">
      <alignment horizontal="left" vertical="center" wrapText="1"/>
    </xf>
    <xf numFmtId="0" fontId="15" fillId="0" borderId="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1" fillId="17" borderId="13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6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0.000"/>
      <fill>
        <patternFill patternType="solid">
          <fgColor indexed="64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2C0C]dd/mm/yy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4" formatCode="[$-12C0C]dd/mm/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165" formatCode="0.000"/>
      <fill>
        <patternFill patternType="solid">
          <fgColor indexed="64"/>
          <bgColor theme="4" tint="-0.249977111117893"/>
        </patternFill>
      </fill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2C0C]dd/mm/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2C0C]dd/mm/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2C0C]dd/mm/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Style de tableau croisé dynamique 1" table="0" count="0" xr9:uid="{70635F59-2800-486C-95F3-D5D6C135F3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Frequentation Tourisme - valeurs mensuelles (2020-2023)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Identification!$A$2:$A$49</c:f>
              <c:strCache>
                <c:ptCount val="48"/>
                <c:pt idx="0">
                  <c:v>01/01/2020</c:v>
                </c:pt>
                <c:pt idx="1">
                  <c:v>01/02/2020</c:v>
                </c:pt>
                <c:pt idx="2">
                  <c:v>01/03/2020</c:v>
                </c:pt>
                <c:pt idx="3">
                  <c:v>01/04/2020</c:v>
                </c:pt>
                <c:pt idx="4">
                  <c:v>01/05/2020</c:v>
                </c:pt>
                <c:pt idx="5">
                  <c:v>01/06/2020</c:v>
                </c:pt>
                <c:pt idx="6">
                  <c:v>01/07/2020</c:v>
                </c:pt>
                <c:pt idx="7">
                  <c:v>01/08/2020</c:v>
                </c:pt>
                <c:pt idx="8">
                  <c:v>01/09/2020</c:v>
                </c:pt>
                <c:pt idx="9">
                  <c:v>01/10/2020</c:v>
                </c:pt>
                <c:pt idx="10">
                  <c:v>01/11/2020</c:v>
                </c:pt>
                <c:pt idx="11">
                  <c:v>01/12/2020</c:v>
                </c:pt>
                <c:pt idx="12">
                  <c:v>01/01/2021</c:v>
                </c:pt>
                <c:pt idx="13">
                  <c:v>01/02/2021</c:v>
                </c:pt>
                <c:pt idx="14">
                  <c:v>01/03/2021</c:v>
                </c:pt>
                <c:pt idx="15">
                  <c:v>01/04/2021</c:v>
                </c:pt>
                <c:pt idx="16">
                  <c:v>01/05/2021</c:v>
                </c:pt>
                <c:pt idx="17">
                  <c:v>01/06/2021</c:v>
                </c:pt>
                <c:pt idx="18">
                  <c:v>01/07/2021</c:v>
                </c:pt>
                <c:pt idx="19">
                  <c:v>01/08/2021</c:v>
                </c:pt>
                <c:pt idx="20">
                  <c:v>01/09/2021</c:v>
                </c:pt>
                <c:pt idx="21">
                  <c:v>01/10/2021</c:v>
                </c:pt>
                <c:pt idx="22">
                  <c:v>01/11/2021</c:v>
                </c:pt>
                <c:pt idx="23">
                  <c:v>01/12/2021</c:v>
                </c:pt>
                <c:pt idx="24">
                  <c:v>01/01/2022</c:v>
                </c:pt>
                <c:pt idx="25">
                  <c:v>01/02/2022</c:v>
                </c:pt>
                <c:pt idx="26">
                  <c:v>01/03/2022</c:v>
                </c:pt>
                <c:pt idx="27">
                  <c:v>01/04/2022</c:v>
                </c:pt>
                <c:pt idx="28">
                  <c:v>01/05/2022</c:v>
                </c:pt>
                <c:pt idx="29">
                  <c:v>01/06/2022</c:v>
                </c:pt>
                <c:pt idx="30">
                  <c:v>01/07/2022</c:v>
                </c:pt>
                <c:pt idx="31">
                  <c:v>01/08/2022</c:v>
                </c:pt>
                <c:pt idx="32">
                  <c:v>01/09/2022</c:v>
                </c:pt>
                <c:pt idx="33">
                  <c:v>01/10/2022</c:v>
                </c:pt>
                <c:pt idx="34">
                  <c:v>01/11/2022</c:v>
                </c:pt>
                <c:pt idx="35">
                  <c:v>01/12/2022</c:v>
                </c:pt>
                <c:pt idx="36">
                  <c:v>01/01/2023</c:v>
                </c:pt>
                <c:pt idx="37">
                  <c:v>01/02/2023</c:v>
                </c:pt>
                <c:pt idx="38">
                  <c:v>01/03/2023</c:v>
                </c:pt>
                <c:pt idx="39">
                  <c:v>01/04/2023</c:v>
                </c:pt>
                <c:pt idx="40">
                  <c:v>01/05/2023</c:v>
                </c:pt>
                <c:pt idx="41">
                  <c:v>01/06/2023</c:v>
                </c:pt>
                <c:pt idx="42">
                  <c:v>01/07/2023</c:v>
                </c:pt>
                <c:pt idx="43">
                  <c:v>01/08/2023</c:v>
                </c:pt>
                <c:pt idx="44">
                  <c:v>01/09/2023</c:v>
                </c:pt>
                <c:pt idx="45">
                  <c:v>01/10/2023</c:v>
                </c:pt>
                <c:pt idx="46">
                  <c:v>01/11/2023</c:v>
                </c:pt>
                <c:pt idx="47">
                  <c:v>01/12/2023</c:v>
                </c:pt>
              </c:strCache>
            </c:strRef>
          </c:cat>
          <c:val>
            <c:numRef>
              <c:f>Identification!$C$2:$C$49</c:f>
              <c:numCache>
                <c:formatCode>General</c:formatCode>
                <c:ptCount val="48"/>
                <c:pt idx="0">
                  <c:v>87.68</c:v>
                </c:pt>
                <c:pt idx="1">
                  <c:v>119.79</c:v>
                </c:pt>
                <c:pt idx="2">
                  <c:v>135.83000000000001</c:v>
                </c:pt>
                <c:pt idx="3">
                  <c:v>107.86</c:v>
                </c:pt>
                <c:pt idx="4">
                  <c:v>124.99</c:v>
                </c:pt>
                <c:pt idx="5">
                  <c:v>105.73</c:v>
                </c:pt>
                <c:pt idx="6">
                  <c:v>97.73</c:v>
                </c:pt>
                <c:pt idx="7">
                  <c:v>93.16</c:v>
                </c:pt>
                <c:pt idx="8">
                  <c:v>72.14</c:v>
                </c:pt>
                <c:pt idx="9">
                  <c:v>65.59</c:v>
                </c:pt>
                <c:pt idx="10">
                  <c:v>81.400000000000006</c:v>
                </c:pt>
                <c:pt idx="11">
                  <c:v>77.290000000000006</c:v>
                </c:pt>
                <c:pt idx="12">
                  <c:v>85.77</c:v>
                </c:pt>
                <c:pt idx="13">
                  <c:v>116.92</c:v>
                </c:pt>
                <c:pt idx="14">
                  <c:v>109.88</c:v>
                </c:pt>
                <c:pt idx="15">
                  <c:v>131.63</c:v>
                </c:pt>
                <c:pt idx="16">
                  <c:v>128.78</c:v>
                </c:pt>
                <c:pt idx="17">
                  <c:v>87.85</c:v>
                </c:pt>
                <c:pt idx="18">
                  <c:v>93.65</c:v>
                </c:pt>
                <c:pt idx="19">
                  <c:v>99.41</c:v>
                </c:pt>
                <c:pt idx="20">
                  <c:v>68.040000000000006</c:v>
                </c:pt>
                <c:pt idx="21">
                  <c:v>69.459999999999994</c:v>
                </c:pt>
                <c:pt idx="22">
                  <c:v>81.99</c:v>
                </c:pt>
                <c:pt idx="23">
                  <c:v>96.09</c:v>
                </c:pt>
                <c:pt idx="24">
                  <c:v>98.35</c:v>
                </c:pt>
                <c:pt idx="25">
                  <c:v>105.54</c:v>
                </c:pt>
                <c:pt idx="26">
                  <c:v>139.88999999999999</c:v>
                </c:pt>
                <c:pt idx="27">
                  <c:v>149.82</c:v>
                </c:pt>
                <c:pt idx="28">
                  <c:v>130.27000000000001</c:v>
                </c:pt>
                <c:pt idx="29">
                  <c:v>116.76</c:v>
                </c:pt>
                <c:pt idx="30">
                  <c:v>90.51</c:v>
                </c:pt>
                <c:pt idx="31">
                  <c:v>75.739999999999995</c:v>
                </c:pt>
                <c:pt idx="32">
                  <c:v>81.96</c:v>
                </c:pt>
                <c:pt idx="33">
                  <c:v>79.64</c:v>
                </c:pt>
                <c:pt idx="34">
                  <c:v>97.01</c:v>
                </c:pt>
                <c:pt idx="35">
                  <c:v>95.05</c:v>
                </c:pt>
                <c:pt idx="36">
                  <c:v>84.99</c:v>
                </c:pt>
                <c:pt idx="37">
                  <c:v>122.22</c:v>
                </c:pt>
                <c:pt idx="38">
                  <c:v>109.65</c:v>
                </c:pt>
                <c:pt idx="39">
                  <c:v>117.89</c:v>
                </c:pt>
                <c:pt idx="40">
                  <c:v>125.38</c:v>
                </c:pt>
                <c:pt idx="41">
                  <c:v>138.22</c:v>
                </c:pt>
                <c:pt idx="42">
                  <c:v>136.47999999999999</c:v>
                </c:pt>
                <c:pt idx="43">
                  <c:v>89.57</c:v>
                </c:pt>
                <c:pt idx="44">
                  <c:v>76.55</c:v>
                </c:pt>
                <c:pt idx="45">
                  <c:v>82.29</c:v>
                </c:pt>
                <c:pt idx="46">
                  <c:v>89.81</c:v>
                </c:pt>
                <c:pt idx="47">
                  <c:v>86.12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0BD-4D3F-842D-6BFEBE8B7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962960"/>
        <c:axId val="1200957200"/>
      </c:lineChart>
      <c:catAx>
        <c:axId val="120096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0957200"/>
        <c:crosses val="autoZero"/>
        <c:auto val="1"/>
        <c:lblAlgn val="ctr"/>
        <c:lblOffset val="100"/>
        <c:noMultiLvlLbl val="0"/>
      </c:catAx>
      <c:valAx>
        <c:axId val="120095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Valeurs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096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/>
              <a:t>Serie</a:t>
            </a:r>
            <a:r>
              <a:rPr lang="fr-CM" baseline="0"/>
              <a:t> Originale Xt et Tendance Zt - Moyenne Mobile d'ordre 12 Centrees </a:t>
            </a:r>
            <a:endParaRPr lang="fr-CM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M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Tendance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Tendance!$A$12:$A$59</c:f>
              <c:strCache>
                <c:ptCount val="48"/>
                <c:pt idx="0">
                  <c:v>01/01/2020</c:v>
                </c:pt>
                <c:pt idx="1">
                  <c:v>01/02/2020</c:v>
                </c:pt>
                <c:pt idx="2">
                  <c:v>01/03/2020</c:v>
                </c:pt>
                <c:pt idx="3">
                  <c:v>01/04/2020</c:v>
                </c:pt>
                <c:pt idx="4">
                  <c:v>01/05/2020</c:v>
                </c:pt>
                <c:pt idx="5">
                  <c:v>01/06/2020</c:v>
                </c:pt>
                <c:pt idx="6">
                  <c:v>01/07/2020</c:v>
                </c:pt>
                <c:pt idx="7">
                  <c:v>01/08/2020</c:v>
                </c:pt>
                <c:pt idx="8">
                  <c:v>01/09/2020</c:v>
                </c:pt>
                <c:pt idx="9">
                  <c:v>01/10/2020</c:v>
                </c:pt>
                <c:pt idx="10">
                  <c:v>01/11/2020</c:v>
                </c:pt>
                <c:pt idx="11">
                  <c:v>01/12/2020</c:v>
                </c:pt>
                <c:pt idx="12">
                  <c:v>01/01/2021</c:v>
                </c:pt>
                <c:pt idx="13">
                  <c:v>01/02/2021</c:v>
                </c:pt>
                <c:pt idx="14">
                  <c:v>01/03/2021</c:v>
                </c:pt>
                <c:pt idx="15">
                  <c:v>01/04/2021</c:v>
                </c:pt>
                <c:pt idx="16">
                  <c:v>01/05/2021</c:v>
                </c:pt>
                <c:pt idx="17">
                  <c:v>01/06/2021</c:v>
                </c:pt>
                <c:pt idx="18">
                  <c:v>01/07/2021</c:v>
                </c:pt>
                <c:pt idx="19">
                  <c:v>01/08/2021</c:v>
                </c:pt>
                <c:pt idx="20">
                  <c:v>01/09/2021</c:v>
                </c:pt>
                <c:pt idx="21">
                  <c:v>01/10/2021</c:v>
                </c:pt>
                <c:pt idx="22">
                  <c:v>01/11/2021</c:v>
                </c:pt>
                <c:pt idx="23">
                  <c:v>01/12/2021</c:v>
                </c:pt>
                <c:pt idx="24">
                  <c:v>01/01/2022</c:v>
                </c:pt>
                <c:pt idx="25">
                  <c:v>01/02/2022</c:v>
                </c:pt>
                <c:pt idx="26">
                  <c:v>01/03/2022</c:v>
                </c:pt>
                <c:pt idx="27">
                  <c:v>01/04/2022</c:v>
                </c:pt>
                <c:pt idx="28">
                  <c:v>01/05/2022</c:v>
                </c:pt>
                <c:pt idx="29">
                  <c:v>01/06/2022</c:v>
                </c:pt>
                <c:pt idx="30">
                  <c:v>01/07/2022</c:v>
                </c:pt>
                <c:pt idx="31">
                  <c:v>01/08/2022</c:v>
                </c:pt>
                <c:pt idx="32">
                  <c:v>01/09/2022</c:v>
                </c:pt>
                <c:pt idx="33">
                  <c:v>01/10/2022</c:v>
                </c:pt>
                <c:pt idx="34">
                  <c:v>01/11/2022</c:v>
                </c:pt>
                <c:pt idx="35">
                  <c:v>01/12/2022</c:v>
                </c:pt>
                <c:pt idx="36">
                  <c:v>01/01/2023</c:v>
                </c:pt>
                <c:pt idx="37">
                  <c:v>01/02/2023</c:v>
                </c:pt>
                <c:pt idx="38">
                  <c:v>01/03/2023</c:v>
                </c:pt>
                <c:pt idx="39">
                  <c:v>01/04/2023</c:v>
                </c:pt>
                <c:pt idx="40">
                  <c:v>01/05/2023</c:v>
                </c:pt>
                <c:pt idx="41">
                  <c:v>01/06/2023</c:v>
                </c:pt>
                <c:pt idx="42">
                  <c:v>01/07/2023</c:v>
                </c:pt>
                <c:pt idx="43">
                  <c:v>01/08/2023</c:v>
                </c:pt>
                <c:pt idx="44">
                  <c:v>01/09/2023</c:v>
                </c:pt>
                <c:pt idx="45">
                  <c:v>01/10/2023</c:v>
                </c:pt>
                <c:pt idx="46">
                  <c:v>01/11/2023</c:v>
                </c:pt>
                <c:pt idx="47">
                  <c:v>01/12/2023</c:v>
                </c:pt>
              </c:strCache>
            </c:strRef>
          </c:cat>
          <c:val>
            <c:numRef>
              <c:f>Tendance!$D$12:$D$59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97.352916666666658</c:v>
                </c:pt>
                <c:pt idx="7" formatCode="0.00">
                  <c:v>97.153750000000002</c:v>
                </c:pt>
                <c:pt idx="8" formatCode="0.00">
                  <c:v>95.952916666666681</c:v>
                </c:pt>
                <c:pt idx="9" formatCode="0.00">
                  <c:v>95.862083333333345</c:v>
                </c:pt>
                <c:pt idx="10" formatCode="0.00">
                  <c:v>97.010416666666657</c:v>
                </c:pt>
                <c:pt idx="11" formatCode="0.00">
                  <c:v>96.423333333333318</c:v>
                </c:pt>
                <c:pt idx="12" formatCode="0.00">
                  <c:v>95.508333333333326</c:v>
                </c:pt>
                <c:pt idx="13" formatCode="0.00">
                  <c:v>95.598749999999995</c:v>
                </c:pt>
                <c:pt idx="14" formatCode="0.00">
                  <c:v>95.688333333333333</c:v>
                </c:pt>
                <c:pt idx="15" formatCode="0.00">
                  <c:v>95.678749999999994</c:v>
                </c:pt>
                <c:pt idx="16" formatCode="0.00">
                  <c:v>95.864583333333314</c:v>
                </c:pt>
                <c:pt idx="17" formatCode="0.00">
                  <c:v>96.672499999999985</c:v>
                </c:pt>
                <c:pt idx="18" formatCode="0.00">
                  <c:v>97.97999999999999</c:v>
                </c:pt>
                <c:pt idx="19" formatCode="0.00">
                  <c:v>98.03</c:v>
                </c:pt>
                <c:pt idx="20" formatCode="0.00">
                  <c:v>98.806249999999991</c:v>
                </c:pt>
                <c:pt idx="21" formatCode="0.00">
                  <c:v>100.81458333333333</c:v>
                </c:pt>
                <c:pt idx="22" formatCode="0.00">
                  <c:v>101.63458333333332</c:v>
                </c:pt>
                <c:pt idx="23" formatCode="0.00">
                  <c:v>102.90125</c:v>
                </c:pt>
                <c:pt idx="24" formatCode="0.00">
                  <c:v>103.97499999999999</c:v>
                </c:pt>
                <c:pt idx="25" formatCode="0.00">
                  <c:v>102.85791666666665</c:v>
                </c:pt>
                <c:pt idx="26" formatCode="0.00">
                  <c:v>102.45166666666665</c:v>
                </c:pt>
                <c:pt idx="27" formatCode="0.00">
                  <c:v>103.45583333333332</c:v>
                </c:pt>
                <c:pt idx="28" formatCode="0.00">
                  <c:v>104.50583333333333</c:v>
                </c:pt>
                <c:pt idx="29" formatCode="0.00">
                  <c:v>105.08833333333334</c:v>
                </c:pt>
                <c:pt idx="30" formatCode="0.00">
                  <c:v>104.48833333333334</c:v>
                </c:pt>
                <c:pt idx="31" formatCode="0.00">
                  <c:v>104.62666666666667</c:v>
                </c:pt>
                <c:pt idx="32" formatCode="0.00">
                  <c:v>104.06166666666667</c:v>
                </c:pt>
                <c:pt idx="33" formatCode="0.00">
                  <c:v>101.47125</c:v>
                </c:pt>
                <c:pt idx="34" formatCode="0.00">
                  <c:v>99.937083333333334</c:v>
                </c:pt>
                <c:pt idx="35" formatCode="0.00">
                  <c:v>100.6275</c:v>
                </c:pt>
                <c:pt idx="36" formatCode="0.00">
                  <c:v>103.43708333333333</c:v>
                </c:pt>
                <c:pt idx="37" formatCode="0.00">
                  <c:v>105.92875000000001</c:v>
                </c:pt>
                <c:pt idx="38" formatCode="0.00">
                  <c:v>106.27958333333333</c:v>
                </c:pt>
                <c:pt idx="39" formatCode="0.00">
                  <c:v>106.16458333333333</c:v>
                </c:pt>
                <c:pt idx="40" formatCode="0.00">
                  <c:v>105.97499999999999</c:v>
                </c:pt>
                <c:pt idx="41" formatCode="0.00">
                  <c:v>105.30291666666668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24-4D14-8F0A-80FF4256559E}"/>
            </c:ext>
          </c:extLst>
        </c:ser>
        <c:ser>
          <c:idx val="1"/>
          <c:order val="1"/>
          <c:tx>
            <c:v>Serie Originale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Tendance!$C$12:$C$59</c:f>
              <c:numCache>
                <c:formatCode>General</c:formatCode>
                <c:ptCount val="48"/>
                <c:pt idx="0">
                  <c:v>87.68</c:v>
                </c:pt>
                <c:pt idx="1">
                  <c:v>119.79</c:v>
                </c:pt>
                <c:pt idx="2">
                  <c:v>135.83000000000001</c:v>
                </c:pt>
                <c:pt idx="3">
                  <c:v>107.86</c:v>
                </c:pt>
                <c:pt idx="4">
                  <c:v>124.99</c:v>
                </c:pt>
                <c:pt idx="5">
                  <c:v>105.73</c:v>
                </c:pt>
                <c:pt idx="6">
                  <c:v>97.73</c:v>
                </c:pt>
                <c:pt idx="7">
                  <c:v>93.16</c:v>
                </c:pt>
                <c:pt idx="8">
                  <c:v>72.14</c:v>
                </c:pt>
                <c:pt idx="9">
                  <c:v>65.59</c:v>
                </c:pt>
                <c:pt idx="10">
                  <c:v>81.400000000000006</c:v>
                </c:pt>
                <c:pt idx="11">
                  <c:v>77.290000000000006</c:v>
                </c:pt>
                <c:pt idx="12">
                  <c:v>85.77</c:v>
                </c:pt>
                <c:pt idx="13">
                  <c:v>116.92</c:v>
                </c:pt>
                <c:pt idx="14">
                  <c:v>109.88</c:v>
                </c:pt>
                <c:pt idx="15">
                  <c:v>131.63</c:v>
                </c:pt>
                <c:pt idx="16">
                  <c:v>128.78</c:v>
                </c:pt>
                <c:pt idx="17">
                  <c:v>87.85</c:v>
                </c:pt>
                <c:pt idx="18">
                  <c:v>93.65</c:v>
                </c:pt>
                <c:pt idx="19">
                  <c:v>99.41</c:v>
                </c:pt>
                <c:pt idx="20">
                  <c:v>68.040000000000006</c:v>
                </c:pt>
                <c:pt idx="21">
                  <c:v>69.459999999999994</c:v>
                </c:pt>
                <c:pt idx="22">
                  <c:v>81.99</c:v>
                </c:pt>
                <c:pt idx="23">
                  <c:v>96.09</c:v>
                </c:pt>
                <c:pt idx="24">
                  <c:v>98.35</c:v>
                </c:pt>
                <c:pt idx="25">
                  <c:v>105.54</c:v>
                </c:pt>
                <c:pt idx="26">
                  <c:v>139.88999999999999</c:v>
                </c:pt>
                <c:pt idx="27">
                  <c:v>149.82</c:v>
                </c:pt>
                <c:pt idx="28">
                  <c:v>130.27000000000001</c:v>
                </c:pt>
                <c:pt idx="29">
                  <c:v>116.76</c:v>
                </c:pt>
                <c:pt idx="30">
                  <c:v>90.51</c:v>
                </c:pt>
                <c:pt idx="31">
                  <c:v>75.739999999999995</c:v>
                </c:pt>
                <c:pt idx="32">
                  <c:v>81.96</c:v>
                </c:pt>
                <c:pt idx="33">
                  <c:v>79.64</c:v>
                </c:pt>
                <c:pt idx="34">
                  <c:v>97.01</c:v>
                </c:pt>
                <c:pt idx="35">
                  <c:v>95.05</c:v>
                </c:pt>
                <c:pt idx="36">
                  <c:v>84.99</c:v>
                </c:pt>
                <c:pt idx="37">
                  <c:v>122.22</c:v>
                </c:pt>
                <c:pt idx="38">
                  <c:v>109.65</c:v>
                </c:pt>
                <c:pt idx="39">
                  <c:v>117.89</c:v>
                </c:pt>
                <c:pt idx="40">
                  <c:v>125.38</c:v>
                </c:pt>
                <c:pt idx="41">
                  <c:v>138.22</c:v>
                </c:pt>
                <c:pt idx="42">
                  <c:v>136.47999999999999</c:v>
                </c:pt>
                <c:pt idx="43">
                  <c:v>89.57</c:v>
                </c:pt>
                <c:pt idx="44">
                  <c:v>76.55</c:v>
                </c:pt>
                <c:pt idx="45">
                  <c:v>82.29</c:v>
                </c:pt>
                <c:pt idx="46">
                  <c:v>89.81</c:v>
                </c:pt>
                <c:pt idx="47">
                  <c:v>86.12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24-4D14-8F0A-80FF42565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110975"/>
        <c:axId val="1045051455"/>
      </c:lineChart>
      <c:catAx>
        <c:axId val="1045110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5051455"/>
        <c:crosses val="autoZero"/>
        <c:auto val="1"/>
        <c:lblAlgn val="ctr"/>
        <c:lblOffset val="100"/>
        <c:noMultiLvlLbl val="0"/>
      </c:catAx>
      <c:valAx>
        <c:axId val="104505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Valeurs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511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Saisonnalite 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Saisonnalite!$F$7</c:f>
              <c:strCache>
                <c:ptCount val="1"/>
                <c:pt idx="0">
                  <c:v>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Saisonnalite!$B$8:$B$55</c:f>
              <c:strCache>
                <c:ptCount val="4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  <c:pt idx="36">
                  <c:v>jan</c:v>
                </c:pt>
                <c:pt idx="37">
                  <c:v>feb</c:v>
                </c:pt>
                <c:pt idx="38">
                  <c:v>mar</c:v>
                </c:pt>
                <c:pt idx="39">
                  <c:v>apr</c:v>
                </c:pt>
                <c:pt idx="40">
                  <c:v>may</c:v>
                </c:pt>
                <c:pt idx="41">
                  <c:v>jun</c:v>
                </c:pt>
                <c:pt idx="42">
                  <c:v>jul</c:v>
                </c:pt>
                <c:pt idx="43">
                  <c:v>aug</c:v>
                </c:pt>
                <c:pt idx="44">
                  <c:v>sep</c:v>
                </c:pt>
                <c:pt idx="45">
                  <c:v>oct</c:v>
                </c:pt>
                <c:pt idx="46">
                  <c:v>nov</c:v>
                </c:pt>
                <c:pt idx="47">
                  <c:v>dec</c:v>
                </c:pt>
              </c:strCache>
            </c:strRef>
          </c:cat>
          <c:val>
            <c:numRef>
              <c:f>Saisonnalite!$F$8:$F$55</c:f>
              <c:numCache>
                <c:formatCode>0.000</c:formatCode>
                <c:ptCount val="48"/>
                <c:pt idx="0">
                  <c:v>-10.995185185185187</c:v>
                </c:pt>
                <c:pt idx="1">
                  <c:v>13.706481481481484</c:v>
                </c:pt>
                <c:pt idx="2">
                  <c:v>18.608425925925925</c:v>
                </c:pt>
                <c:pt idx="3">
                  <c:v>31.621898148148151</c:v>
                </c:pt>
                <c:pt idx="4">
                  <c:v>26.303148148148157</c:v>
                </c:pt>
                <c:pt idx="5">
                  <c:v>12.197037037037035</c:v>
                </c:pt>
                <c:pt idx="6">
                  <c:v>-5.7021296296296242</c:v>
                </c:pt>
                <c:pt idx="7">
                  <c:v>-10.225185185185191</c:v>
                </c:pt>
                <c:pt idx="8">
                  <c:v>-25.285324074074079</c:v>
                </c:pt>
                <c:pt idx="9">
                  <c:v>-27.544351851851857</c:v>
                </c:pt>
                <c:pt idx="10">
                  <c:v>-12.452407407407401</c:v>
                </c:pt>
                <c:pt idx="11">
                  <c:v>-10.232407407407402</c:v>
                </c:pt>
                <c:pt idx="12">
                  <c:v>-10.995185185185187</c:v>
                </c:pt>
                <c:pt idx="13">
                  <c:v>13.706481481481484</c:v>
                </c:pt>
                <c:pt idx="14">
                  <c:v>18.608425925925925</c:v>
                </c:pt>
                <c:pt idx="15">
                  <c:v>31.621898148148151</c:v>
                </c:pt>
                <c:pt idx="16">
                  <c:v>26.303148148148157</c:v>
                </c:pt>
                <c:pt idx="17">
                  <c:v>12.197037037037035</c:v>
                </c:pt>
                <c:pt idx="18">
                  <c:v>-5.7021296296296242</c:v>
                </c:pt>
                <c:pt idx="19">
                  <c:v>-10.225185185185191</c:v>
                </c:pt>
                <c:pt idx="20">
                  <c:v>-25.285324074074079</c:v>
                </c:pt>
                <c:pt idx="21">
                  <c:v>-27.544351851851857</c:v>
                </c:pt>
                <c:pt idx="22">
                  <c:v>-12.452407407407401</c:v>
                </c:pt>
                <c:pt idx="23">
                  <c:v>-10.232407407407402</c:v>
                </c:pt>
                <c:pt idx="24">
                  <c:v>-10.995185185185187</c:v>
                </c:pt>
                <c:pt idx="25">
                  <c:v>13.706481481481484</c:v>
                </c:pt>
                <c:pt idx="26">
                  <c:v>18.608425925925925</c:v>
                </c:pt>
                <c:pt idx="27">
                  <c:v>31.621898148148151</c:v>
                </c:pt>
                <c:pt idx="28">
                  <c:v>26.303148148148157</c:v>
                </c:pt>
                <c:pt idx="29">
                  <c:v>12.197037037037035</c:v>
                </c:pt>
                <c:pt idx="30">
                  <c:v>-5.7021296296296242</c:v>
                </c:pt>
                <c:pt idx="31">
                  <c:v>-10.225185185185191</c:v>
                </c:pt>
                <c:pt idx="32">
                  <c:v>-25.285324074074079</c:v>
                </c:pt>
                <c:pt idx="33">
                  <c:v>-27.544351851851857</c:v>
                </c:pt>
                <c:pt idx="34">
                  <c:v>-12.452407407407401</c:v>
                </c:pt>
                <c:pt idx="35">
                  <c:v>-10.232407407407402</c:v>
                </c:pt>
                <c:pt idx="36">
                  <c:v>-10.995185185185187</c:v>
                </c:pt>
                <c:pt idx="37">
                  <c:v>13.706481481481484</c:v>
                </c:pt>
                <c:pt idx="38">
                  <c:v>18.608425925925925</c:v>
                </c:pt>
                <c:pt idx="39">
                  <c:v>31.621898148148151</c:v>
                </c:pt>
                <c:pt idx="40">
                  <c:v>26.303148148148157</c:v>
                </c:pt>
                <c:pt idx="41">
                  <c:v>12.197037037037035</c:v>
                </c:pt>
                <c:pt idx="42">
                  <c:v>-5.7021296296296242</c:v>
                </c:pt>
                <c:pt idx="43">
                  <c:v>-10.225185185185191</c:v>
                </c:pt>
                <c:pt idx="44">
                  <c:v>-25.285324074074079</c:v>
                </c:pt>
                <c:pt idx="45">
                  <c:v>-27.544351851851857</c:v>
                </c:pt>
                <c:pt idx="46">
                  <c:v>-12.452407407407401</c:v>
                </c:pt>
                <c:pt idx="47">
                  <c:v>-10.232407407407402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E-4336-8FCC-3F349B891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5987615"/>
        <c:axId val="1855987135"/>
      </c:lineChart>
      <c:catAx>
        <c:axId val="1855987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5987135"/>
        <c:crosses val="autoZero"/>
        <c:auto val="1"/>
        <c:lblAlgn val="ctr"/>
        <c:lblOffset val="100"/>
        <c:noMultiLvlLbl val="0"/>
      </c:catAx>
      <c:valAx>
        <c:axId val="185598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 de saison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598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/>
              <a:t>Composante Residuelle  Et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914479440069988E-2"/>
          <c:y val="0.19721055701370663"/>
          <c:w val="0.86364107611548557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Residus!$G$8:$G$43</c:f>
              <c:numCache>
                <c:formatCode>0.00</c:formatCode>
                <c:ptCount val="36"/>
                <c:pt idx="0">
                  <c:v>6.0792129629629699</c:v>
                </c:pt>
                <c:pt idx="1">
                  <c:v>6.2314351851851857</c:v>
                </c:pt>
                <c:pt idx="2">
                  <c:v>1.4724074074073989</c:v>
                </c:pt>
                <c:pt idx="3">
                  <c:v>-2.7277314814814844</c:v>
                </c:pt>
                <c:pt idx="4">
                  <c:v>-3.1580092592592504</c:v>
                </c:pt>
                <c:pt idx="5">
                  <c:v>-8.9009259259259093</c:v>
                </c:pt>
                <c:pt idx="6">
                  <c:v>1.2568518518518577</c:v>
                </c:pt>
                <c:pt idx="7">
                  <c:v>7.6147685185185221</c:v>
                </c:pt>
                <c:pt idx="8">
                  <c:v>-4.4167592592592619</c:v>
                </c:pt>
                <c:pt idx="9">
                  <c:v>4.3293518518518503</c:v>
                </c:pt>
                <c:pt idx="10">
                  <c:v>6.6122685185185297</c:v>
                </c:pt>
                <c:pt idx="11">
                  <c:v>-21.019537037037026</c:v>
                </c:pt>
                <c:pt idx="12">
                  <c:v>1.3721296296296401</c:v>
                </c:pt>
                <c:pt idx="13">
                  <c:v>11.605185185185187</c:v>
                </c:pt>
                <c:pt idx="14">
                  <c:v>-5.4809259259259058</c:v>
                </c:pt>
                <c:pt idx="15">
                  <c:v>-3.8102314814814804</c:v>
                </c:pt>
                <c:pt idx="16">
                  <c:v>-7.1921759259259286</c:v>
                </c:pt>
                <c:pt idx="17">
                  <c:v>3.4211574074074012</c:v>
                </c:pt>
                <c:pt idx="18">
                  <c:v>5.3701851851851874</c:v>
                </c:pt>
                <c:pt idx="19">
                  <c:v>-11.024398148148132</c:v>
                </c:pt>
                <c:pt idx="20">
                  <c:v>18.829907407407408</c:v>
                </c:pt>
                <c:pt idx="21">
                  <c:v>14.742268518518525</c:v>
                </c:pt>
                <c:pt idx="22">
                  <c:v>-0.53898148148147484</c:v>
                </c:pt>
                <c:pt idx="23">
                  <c:v>-0.52537037037036782</c:v>
                </c:pt>
                <c:pt idx="24">
                  <c:v>-8.2762037037037146</c:v>
                </c:pt>
                <c:pt idx="25">
                  <c:v>-18.661481481481481</c:v>
                </c:pt>
                <c:pt idx="26">
                  <c:v>3.1836574074074058</c:v>
                </c:pt>
                <c:pt idx="27">
                  <c:v>5.7131018518518601</c:v>
                </c:pt>
                <c:pt idx="28">
                  <c:v>9.5253240740740726</c:v>
                </c:pt>
                <c:pt idx="29">
                  <c:v>4.6549074074074017</c:v>
                </c:pt>
                <c:pt idx="30">
                  <c:v>-7.4518981481481514</c:v>
                </c:pt>
                <c:pt idx="31">
                  <c:v>2.5847685185185068</c:v>
                </c:pt>
                <c:pt idx="32">
                  <c:v>-15.238009259259254</c:v>
                </c:pt>
                <c:pt idx="33">
                  <c:v>-19.896481481481477</c:v>
                </c:pt>
                <c:pt idx="34">
                  <c:v>-6.8981481481481559</c:v>
                </c:pt>
                <c:pt idx="35">
                  <c:v>20.720046296296289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B-4961-850E-7C5A651C5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728944"/>
        <c:axId val="1475728464"/>
      </c:lineChart>
      <c:catAx>
        <c:axId val="1475728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periode t</a:t>
                </a:r>
              </a:p>
            </c:rich>
          </c:tx>
          <c:layout>
            <c:manualLayout>
              <c:xMode val="edge"/>
              <c:yMode val="edge"/>
              <c:x val="0.4692867043697459"/>
              <c:y val="0.912556538680087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5728464"/>
        <c:crosses val="autoZero"/>
        <c:auto val="1"/>
        <c:lblAlgn val="ctr"/>
        <c:lblOffset val="100"/>
        <c:noMultiLvlLbl val="0"/>
      </c:catAx>
      <c:valAx>
        <c:axId val="147572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 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572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652151793892444E-2"/>
          <c:y val="0.90566961604026286"/>
          <c:w val="0.12657746151348392"/>
          <c:h val="6.95881159184998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 sz="1400" b="1" i="0" u="none" strike="noStrike" kern="1200" spc="-1" baseline="0">
                <a:solidFill>
                  <a:srgbClr val="000000"/>
                </a:solidFill>
                <a:latin typeface="Calibri"/>
              </a:rPr>
              <a:t>Série historique X(t), Ajustement Ŷ(t) et Prévisions 2024 – Holt-Winters Additif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Previsions!$C$111</c:f>
              <c:strCache>
                <c:ptCount val="1"/>
                <c:pt idx="0">
                  <c:v>X(t) observé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Previsions!$B$112:$B$171</c:f>
              <c:strCache>
                <c:ptCount val="60"/>
                <c:pt idx="0">
                  <c:v>Jan-2020</c:v>
                </c:pt>
                <c:pt idx="1">
                  <c:v>Fév-2020</c:v>
                </c:pt>
                <c:pt idx="2">
                  <c:v>Mar-2020</c:v>
                </c:pt>
                <c:pt idx="3">
                  <c:v>Avr-2020</c:v>
                </c:pt>
                <c:pt idx="4">
                  <c:v>Mai-2020</c:v>
                </c:pt>
                <c:pt idx="5">
                  <c:v>Jun-2020</c:v>
                </c:pt>
                <c:pt idx="6">
                  <c:v>Jul-2020</c:v>
                </c:pt>
                <c:pt idx="7">
                  <c:v>Aoû-2020</c:v>
                </c:pt>
                <c:pt idx="8">
                  <c:v>Sep-2020</c:v>
                </c:pt>
                <c:pt idx="9">
                  <c:v>Oct-2020</c:v>
                </c:pt>
                <c:pt idx="10">
                  <c:v>Nov-2020</c:v>
                </c:pt>
                <c:pt idx="11">
                  <c:v>Déc-2020</c:v>
                </c:pt>
                <c:pt idx="12">
                  <c:v>Jan-2021</c:v>
                </c:pt>
                <c:pt idx="13">
                  <c:v>Fév-2021</c:v>
                </c:pt>
                <c:pt idx="14">
                  <c:v>Mar-2021</c:v>
                </c:pt>
                <c:pt idx="15">
                  <c:v>Avr-2021</c:v>
                </c:pt>
                <c:pt idx="16">
                  <c:v>Mai-2021</c:v>
                </c:pt>
                <c:pt idx="17">
                  <c:v>Jun-2021</c:v>
                </c:pt>
                <c:pt idx="18">
                  <c:v>Jul-2021</c:v>
                </c:pt>
                <c:pt idx="19">
                  <c:v>Aoû-2021</c:v>
                </c:pt>
                <c:pt idx="20">
                  <c:v>Sep-2021</c:v>
                </c:pt>
                <c:pt idx="21">
                  <c:v>Oct-2021</c:v>
                </c:pt>
                <c:pt idx="22">
                  <c:v>Nov-2021</c:v>
                </c:pt>
                <c:pt idx="23">
                  <c:v>Déc-2021</c:v>
                </c:pt>
                <c:pt idx="24">
                  <c:v>Jan-2022</c:v>
                </c:pt>
                <c:pt idx="25">
                  <c:v>Fév-2022</c:v>
                </c:pt>
                <c:pt idx="26">
                  <c:v>Mar-2022</c:v>
                </c:pt>
                <c:pt idx="27">
                  <c:v>Avr-2022</c:v>
                </c:pt>
                <c:pt idx="28">
                  <c:v>Mai-2022</c:v>
                </c:pt>
                <c:pt idx="29">
                  <c:v>Jun-2022</c:v>
                </c:pt>
                <c:pt idx="30">
                  <c:v>Jul-2022</c:v>
                </c:pt>
                <c:pt idx="31">
                  <c:v>Aoû-2022</c:v>
                </c:pt>
                <c:pt idx="32">
                  <c:v>Sep-2022</c:v>
                </c:pt>
                <c:pt idx="33">
                  <c:v>Oct-2022</c:v>
                </c:pt>
                <c:pt idx="34">
                  <c:v>Nov-2022</c:v>
                </c:pt>
                <c:pt idx="35">
                  <c:v>Déc-2022</c:v>
                </c:pt>
                <c:pt idx="36">
                  <c:v>Jan-2023</c:v>
                </c:pt>
                <c:pt idx="37">
                  <c:v>Fév-2023</c:v>
                </c:pt>
                <c:pt idx="38">
                  <c:v>Mar-2023</c:v>
                </c:pt>
                <c:pt idx="39">
                  <c:v>Avr-2023</c:v>
                </c:pt>
                <c:pt idx="40">
                  <c:v>Mai-2023</c:v>
                </c:pt>
                <c:pt idx="41">
                  <c:v>Jun-2023</c:v>
                </c:pt>
                <c:pt idx="42">
                  <c:v>Jul-2023</c:v>
                </c:pt>
                <c:pt idx="43">
                  <c:v>Aoû-2023</c:v>
                </c:pt>
                <c:pt idx="44">
                  <c:v>Sep-2023</c:v>
                </c:pt>
                <c:pt idx="45">
                  <c:v>Oct-2023</c:v>
                </c:pt>
                <c:pt idx="46">
                  <c:v>Nov-2023</c:v>
                </c:pt>
                <c:pt idx="47">
                  <c:v>Déc-2023</c:v>
                </c:pt>
                <c:pt idx="48">
                  <c:v>Jan-2024</c:v>
                </c:pt>
                <c:pt idx="49">
                  <c:v>Fév-2024</c:v>
                </c:pt>
                <c:pt idx="50">
                  <c:v>Mar-2024</c:v>
                </c:pt>
                <c:pt idx="51">
                  <c:v>Avr-2024</c:v>
                </c:pt>
                <c:pt idx="52">
                  <c:v>Mai-2024</c:v>
                </c:pt>
                <c:pt idx="53">
                  <c:v>Jun-2024</c:v>
                </c:pt>
                <c:pt idx="54">
                  <c:v>Jul-2024</c:v>
                </c:pt>
                <c:pt idx="55">
                  <c:v>Aoû-2024</c:v>
                </c:pt>
                <c:pt idx="56">
                  <c:v>Sep-2024</c:v>
                </c:pt>
                <c:pt idx="57">
                  <c:v>Oct-2024</c:v>
                </c:pt>
                <c:pt idx="58">
                  <c:v>Nov-2024</c:v>
                </c:pt>
                <c:pt idx="59">
                  <c:v>Déc-2024</c:v>
                </c:pt>
              </c:strCache>
            </c:strRef>
          </c:cat>
          <c:val>
            <c:numRef>
              <c:f>Previsions!$C$112:$C$171</c:f>
              <c:numCache>
                <c:formatCode>General</c:formatCode>
                <c:ptCount val="60"/>
                <c:pt idx="0">
                  <c:v>87.68</c:v>
                </c:pt>
                <c:pt idx="1">
                  <c:v>119.79</c:v>
                </c:pt>
                <c:pt idx="2">
                  <c:v>135.83000000000001</c:v>
                </c:pt>
                <c:pt idx="3">
                  <c:v>107.86</c:v>
                </c:pt>
                <c:pt idx="4">
                  <c:v>124.99</c:v>
                </c:pt>
                <c:pt idx="5">
                  <c:v>105.73</c:v>
                </c:pt>
                <c:pt idx="6">
                  <c:v>97.73</c:v>
                </c:pt>
                <c:pt idx="7">
                  <c:v>93.16</c:v>
                </c:pt>
                <c:pt idx="8">
                  <c:v>72.14</c:v>
                </c:pt>
                <c:pt idx="9">
                  <c:v>65.59</c:v>
                </c:pt>
                <c:pt idx="10">
                  <c:v>81.400000000000006</c:v>
                </c:pt>
                <c:pt idx="11">
                  <c:v>77.290000000000006</c:v>
                </c:pt>
                <c:pt idx="12">
                  <c:v>85.77</c:v>
                </c:pt>
                <c:pt idx="13">
                  <c:v>116.92</c:v>
                </c:pt>
                <c:pt idx="14">
                  <c:v>109.88</c:v>
                </c:pt>
                <c:pt idx="15">
                  <c:v>131.63</c:v>
                </c:pt>
                <c:pt idx="16">
                  <c:v>128.78</c:v>
                </c:pt>
                <c:pt idx="17">
                  <c:v>87.85</c:v>
                </c:pt>
                <c:pt idx="18">
                  <c:v>93.65</c:v>
                </c:pt>
                <c:pt idx="19">
                  <c:v>99.41</c:v>
                </c:pt>
                <c:pt idx="20">
                  <c:v>68.040000000000006</c:v>
                </c:pt>
                <c:pt idx="21">
                  <c:v>69.459999999999994</c:v>
                </c:pt>
                <c:pt idx="22">
                  <c:v>81.99</c:v>
                </c:pt>
                <c:pt idx="23">
                  <c:v>96.09</c:v>
                </c:pt>
                <c:pt idx="24">
                  <c:v>98.35</c:v>
                </c:pt>
                <c:pt idx="25">
                  <c:v>105.54</c:v>
                </c:pt>
                <c:pt idx="26">
                  <c:v>139.88999999999999</c:v>
                </c:pt>
                <c:pt idx="27">
                  <c:v>149.82</c:v>
                </c:pt>
                <c:pt idx="28">
                  <c:v>130.27000000000001</c:v>
                </c:pt>
                <c:pt idx="29">
                  <c:v>116.76</c:v>
                </c:pt>
                <c:pt idx="30">
                  <c:v>90.51</c:v>
                </c:pt>
                <c:pt idx="31">
                  <c:v>75.739999999999995</c:v>
                </c:pt>
                <c:pt idx="32">
                  <c:v>81.96</c:v>
                </c:pt>
                <c:pt idx="33">
                  <c:v>79.64</c:v>
                </c:pt>
                <c:pt idx="34">
                  <c:v>97.01</c:v>
                </c:pt>
                <c:pt idx="35">
                  <c:v>95.05</c:v>
                </c:pt>
                <c:pt idx="36">
                  <c:v>84.99</c:v>
                </c:pt>
                <c:pt idx="37">
                  <c:v>122.22</c:v>
                </c:pt>
                <c:pt idx="38">
                  <c:v>109.65</c:v>
                </c:pt>
                <c:pt idx="39">
                  <c:v>117.89</c:v>
                </c:pt>
                <c:pt idx="40">
                  <c:v>125.38</c:v>
                </c:pt>
                <c:pt idx="41">
                  <c:v>138.22</c:v>
                </c:pt>
                <c:pt idx="42">
                  <c:v>136.47999999999999</c:v>
                </c:pt>
                <c:pt idx="43">
                  <c:v>89.57</c:v>
                </c:pt>
                <c:pt idx="44">
                  <c:v>76.55</c:v>
                </c:pt>
                <c:pt idx="45">
                  <c:v>82.29</c:v>
                </c:pt>
                <c:pt idx="46">
                  <c:v>89.81</c:v>
                </c:pt>
                <c:pt idx="47">
                  <c:v>86.12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E-4F5F-88F6-5468D0C8F2B9}"/>
            </c:ext>
          </c:extLst>
        </c:ser>
        <c:ser>
          <c:idx val="1"/>
          <c:order val="1"/>
          <c:tx>
            <c:strRef>
              <c:f>Previsions!$D$111</c:f>
              <c:strCache>
                <c:ptCount val="1"/>
                <c:pt idx="0">
                  <c:v>Ŷ(t) ajusté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Previsions!$B$112:$B$171</c:f>
              <c:strCache>
                <c:ptCount val="60"/>
                <c:pt idx="0">
                  <c:v>Jan-2020</c:v>
                </c:pt>
                <c:pt idx="1">
                  <c:v>Fév-2020</c:v>
                </c:pt>
                <c:pt idx="2">
                  <c:v>Mar-2020</c:v>
                </c:pt>
                <c:pt idx="3">
                  <c:v>Avr-2020</c:v>
                </c:pt>
                <c:pt idx="4">
                  <c:v>Mai-2020</c:v>
                </c:pt>
                <c:pt idx="5">
                  <c:v>Jun-2020</c:v>
                </c:pt>
                <c:pt idx="6">
                  <c:v>Jul-2020</c:v>
                </c:pt>
                <c:pt idx="7">
                  <c:v>Aoû-2020</c:v>
                </c:pt>
                <c:pt idx="8">
                  <c:v>Sep-2020</c:v>
                </c:pt>
                <c:pt idx="9">
                  <c:v>Oct-2020</c:v>
                </c:pt>
                <c:pt idx="10">
                  <c:v>Nov-2020</c:v>
                </c:pt>
                <c:pt idx="11">
                  <c:v>Déc-2020</c:v>
                </c:pt>
                <c:pt idx="12">
                  <c:v>Jan-2021</c:v>
                </c:pt>
                <c:pt idx="13">
                  <c:v>Fév-2021</c:v>
                </c:pt>
                <c:pt idx="14">
                  <c:v>Mar-2021</c:v>
                </c:pt>
                <c:pt idx="15">
                  <c:v>Avr-2021</c:v>
                </c:pt>
                <c:pt idx="16">
                  <c:v>Mai-2021</c:v>
                </c:pt>
                <c:pt idx="17">
                  <c:v>Jun-2021</c:v>
                </c:pt>
                <c:pt idx="18">
                  <c:v>Jul-2021</c:v>
                </c:pt>
                <c:pt idx="19">
                  <c:v>Aoû-2021</c:v>
                </c:pt>
                <c:pt idx="20">
                  <c:v>Sep-2021</c:v>
                </c:pt>
                <c:pt idx="21">
                  <c:v>Oct-2021</c:v>
                </c:pt>
                <c:pt idx="22">
                  <c:v>Nov-2021</c:v>
                </c:pt>
                <c:pt idx="23">
                  <c:v>Déc-2021</c:v>
                </c:pt>
                <c:pt idx="24">
                  <c:v>Jan-2022</c:v>
                </c:pt>
                <c:pt idx="25">
                  <c:v>Fév-2022</c:v>
                </c:pt>
                <c:pt idx="26">
                  <c:v>Mar-2022</c:v>
                </c:pt>
                <c:pt idx="27">
                  <c:v>Avr-2022</c:v>
                </c:pt>
                <c:pt idx="28">
                  <c:v>Mai-2022</c:v>
                </c:pt>
                <c:pt idx="29">
                  <c:v>Jun-2022</c:v>
                </c:pt>
                <c:pt idx="30">
                  <c:v>Jul-2022</c:v>
                </c:pt>
                <c:pt idx="31">
                  <c:v>Aoû-2022</c:v>
                </c:pt>
                <c:pt idx="32">
                  <c:v>Sep-2022</c:v>
                </c:pt>
                <c:pt idx="33">
                  <c:v>Oct-2022</c:v>
                </c:pt>
                <c:pt idx="34">
                  <c:v>Nov-2022</c:v>
                </c:pt>
                <c:pt idx="35">
                  <c:v>Déc-2022</c:v>
                </c:pt>
                <c:pt idx="36">
                  <c:v>Jan-2023</c:v>
                </c:pt>
                <c:pt idx="37">
                  <c:v>Fév-2023</c:v>
                </c:pt>
                <c:pt idx="38">
                  <c:v>Mar-2023</c:v>
                </c:pt>
                <c:pt idx="39">
                  <c:v>Avr-2023</c:v>
                </c:pt>
                <c:pt idx="40">
                  <c:v>Mai-2023</c:v>
                </c:pt>
                <c:pt idx="41">
                  <c:v>Jun-2023</c:v>
                </c:pt>
                <c:pt idx="42">
                  <c:v>Jul-2023</c:v>
                </c:pt>
                <c:pt idx="43">
                  <c:v>Aoû-2023</c:v>
                </c:pt>
                <c:pt idx="44">
                  <c:v>Sep-2023</c:v>
                </c:pt>
                <c:pt idx="45">
                  <c:v>Oct-2023</c:v>
                </c:pt>
                <c:pt idx="46">
                  <c:v>Nov-2023</c:v>
                </c:pt>
                <c:pt idx="47">
                  <c:v>Déc-2023</c:v>
                </c:pt>
                <c:pt idx="48">
                  <c:v>Jan-2024</c:v>
                </c:pt>
                <c:pt idx="49">
                  <c:v>Fév-2024</c:v>
                </c:pt>
                <c:pt idx="50">
                  <c:v>Mar-2024</c:v>
                </c:pt>
                <c:pt idx="51">
                  <c:v>Avr-2024</c:v>
                </c:pt>
                <c:pt idx="52">
                  <c:v>Mai-2024</c:v>
                </c:pt>
                <c:pt idx="53">
                  <c:v>Jun-2024</c:v>
                </c:pt>
                <c:pt idx="54">
                  <c:v>Jul-2024</c:v>
                </c:pt>
                <c:pt idx="55">
                  <c:v>Aoû-2024</c:v>
                </c:pt>
                <c:pt idx="56">
                  <c:v>Sep-2024</c:v>
                </c:pt>
                <c:pt idx="57">
                  <c:v>Oct-2024</c:v>
                </c:pt>
                <c:pt idx="58">
                  <c:v>Nov-2024</c:v>
                </c:pt>
                <c:pt idx="59">
                  <c:v>Déc-2024</c:v>
                </c:pt>
              </c:strCache>
            </c:strRef>
          </c:cat>
          <c:val>
            <c:numRef>
              <c:f>Previsions!$D$112:$D$171</c:f>
              <c:numCache>
                <c:formatCode>0.000</c:formatCode>
                <c:ptCount val="60"/>
                <c:pt idx="0">
                  <c:v>89.349467180489228</c:v>
                </c:pt>
                <c:pt idx="1">
                  <c:v>116.02429906382174</c:v>
                </c:pt>
                <c:pt idx="2">
                  <c:v>124.64001865707171</c:v>
                </c:pt>
                <c:pt idx="3">
                  <c:v>127.21773138220371</c:v>
                </c:pt>
                <c:pt idx="4">
                  <c:v>126.2003830210005</c:v>
                </c:pt>
                <c:pt idx="5">
                  <c:v>110.41802677681869</c:v>
                </c:pt>
                <c:pt idx="6">
                  <c:v>94.76181755595357</c:v>
                </c:pt>
                <c:pt idx="7">
                  <c:v>90.491641637170943</c:v>
                </c:pt>
                <c:pt idx="8">
                  <c:v>73.965868282783788</c:v>
                </c:pt>
                <c:pt idx="9">
                  <c:v>70.197903858785281</c:v>
                </c:pt>
                <c:pt idx="10">
                  <c:v>84.866337394154343</c:v>
                </c:pt>
                <c:pt idx="11">
                  <c:v>84.70556420204494</c:v>
                </c:pt>
                <c:pt idx="12">
                  <c:v>85.549421946385294</c:v>
                </c:pt>
                <c:pt idx="13">
                  <c:v>111.89816821534629</c:v>
                </c:pt>
                <c:pt idx="14">
                  <c:v>113.7125720641466</c:v>
                </c:pt>
                <c:pt idx="15">
                  <c:v>128.59207508520319</c:v>
                </c:pt>
                <c:pt idx="16">
                  <c:v>124.12649455330211</c:v>
                </c:pt>
                <c:pt idx="17">
                  <c:v>102.6114682401692</c:v>
                </c:pt>
                <c:pt idx="18">
                  <c:v>89.597721542614565</c:v>
                </c:pt>
                <c:pt idx="19">
                  <c:v>88.228302854944801</c:v>
                </c:pt>
                <c:pt idx="20">
                  <c:v>69.537444396381474</c:v>
                </c:pt>
                <c:pt idx="21">
                  <c:v>67.998487617488422</c:v>
                </c:pt>
                <c:pt idx="22">
                  <c:v>82.347922195865351</c:v>
                </c:pt>
                <c:pt idx="23">
                  <c:v>87.802434094445928</c:v>
                </c:pt>
                <c:pt idx="24">
                  <c:v>88.775479721483237</c:v>
                </c:pt>
                <c:pt idx="25">
                  <c:v>109.50523450712053</c:v>
                </c:pt>
                <c:pt idx="26">
                  <c:v>122.48857535801177</c:v>
                </c:pt>
                <c:pt idx="27">
                  <c:v>136.75446164801156</c:v>
                </c:pt>
                <c:pt idx="28">
                  <c:v>129.12150219253124</c:v>
                </c:pt>
                <c:pt idx="29">
                  <c:v>115.67858477178474</c:v>
                </c:pt>
                <c:pt idx="30">
                  <c:v>95.858064912061721</c:v>
                </c:pt>
                <c:pt idx="31">
                  <c:v>88.083846944745929</c:v>
                </c:pt>
                <c:pt idx="32">
                  <c:v>77.989913693603143</c:v>
                </c:pt>
                <c:pt idx="33">
                  <c:v>76.392064908416415</c:v>
                </c:pt>
                <c:pt idx="34">
                  <c:v>92.783160908219756</c:v>
                </c:pt>
                <c:pt idx="35">
                  <c:v>94.592415698960536</c:v>
                </c:pt>
                <c:pt idx="36">
                  <c:v>91.52443011289688</c:v>
                </c:pt>
                <c:pt idx="37">
                  <c:v>119.38536730282917</c:v>
                </c:pt>
                <c:pt idx="38">
                  <c:v>119.84077098962882</c:v>
                </c:pt>
                <c:pt idx="39">
                  <c:v>130.51109187563</c:v>
                </c:pt>
                <c:pt idx="40">
                  <c:v>127.53105725427476</c:v>
                </c:pt>
                <c:pt idx="41">
                  <c:v>121.01707663362339</c:v>
                </c:pt>
                <c:pt idx="42">
                  <c:v>109.95871497536761</c:v>
                </c:pt>
                <c:pt idx="43">
                  <c:v>96.656732888739285</c:v>
                </c:pt>
                <c:pt idx="44">
                  <c:v>81.845983070775276</c:v>
                </c:pt>
                <c:pt idx="45">
                  <c:v>81.710938681677703</c:v>
                </c:pt>
                <c:pt idx="46">
                  <c:v>95.084569900228672</c:v>
                </c:pt>
                <c:pt idx="47">
                  <c:v>95.354392297922203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E-4F5F-88F6-5468D0C8F2B9}"/>
            </c:ext>
          </c:extLst>
        </c:ser>
        <c:ser>
          <c:idx val="2"/>
          <c:order val="2"/>
          <c:tx>
            <c:strRef>
              <c:f>Previsions!$E$111</c:f>
              <c:strCache>
                <c:ptCount val="1"/>
                <c:pt idx="0">
                  <c:v>Prévision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Previsions!$B$112:$B$171</c:f>
              <c:strCache>
                <c:ptCount val="60"/>
                <c:pt idx="0">
                  <c:v>Jan-2020</c:v>
                </c:pt>
                <c:pt idx="1">
                  <c:v>Fév-2020</c:v>
                </c:pt>
                <c:pt idx="2">
                  <c:v>Mar-2020</c:v>
                </c:pt>
                <c:pt idx="3">
                  <c:v>Avr-2020</c:v>
                </c:pt>
                <c:pt idx="4">
                  <c:v>Mai-2020</c:v>
                </c:pt>
                <c:pt idx="5">
                  <c:v>Jun-2020</c:v>
                </c:pt>
                <c:pt idx="6">
                  <c:v>Jul-2020</c:v>
                </c:pt>
                <c:pt idx="7">
                  <c:v>Aoû-2020</c:v>
                </c:pt>
                <c:pt idx="8">
                  <c:v>Sep-2020</c:v>
                </c:pt>
                <c:pt idx="9">
                  <c:v>Oct-2020</c:v>
                </c:pt>
                <c:pt idx="10">
                  <c:v>Nov-2020</c:v>
                </c:pt>
                <c:pt idx="11">
                  <c:v>Déc-2020</c:v>
                </c:pt>
                <c:pt idx="12">
                  <c:v>Jan-2021</c:v>
                </c:pt>
                <c:pt idx="13">
                  <c:v>Fév-2021</c:v>
                </c:pt>
                <c:pt idx="14">
                  <c:v>Mar-2021</c:v>
                </c:pt>
                <c:pt idx="15">
                  <c:v>Avr-2021</c:v>
                </c:pt>
                <c:pt idx="16">
                  <c:v>Mai-2021</c:v>
                </c:pt>
                <c:pt idx="17">
                  <c:v>Jun-2021</c:v>
                </c:pt>
                <c:pt idx="18">
                  <c:v>Jul-2021</c:v>
                </c:pt>
                <c:pt idx="19">
                  <c:v>Aoû-2021</c:v>
                </c:pt>
                <c:pt idx="20">
                  <c:v>Sep-2021</c:v>
                </c:pt>
                <c:pt idx="21">
                  <c:v>Oct-2021</c:v>
                </c:pt>
                <c:pt idx="22">
                  <c:v>Nov-2021</c:v>
                </c:pt>
                <c:pt idx="23">
                  <c:v>Déc-2021</c:v>
                </c:pt>
                <c:pt idx="24">
                  <c:v>Jan-2022</c:v>
                </c:pt>
                <c:pt idx="25">
                  <c:v>Fév-2022</c:v>
                </c:pt>
                <c:pt idx="26">
                  <c:v>Mar-2022</c:v>
                </c:pt>
                <c:pt idx="27">
                  <c:v>Avr-2022</c:v>
                </c:pt>
                <c:pt idx="28">
                  <c:v>Mai-2022</c:v>
                </c:pt>
                <c:pt idx="29">
                  <c:v>Jun-2022</c:v>
                </c:pt>
                <c:pt idx="30">
                  <c:v>Jul-2022</c:v>
                </c:pt>
                <c:pt idx="31">
                  <c:v>Aoû-2022</c:v>
                </c:pt>
                <c:pt idx="32">
                  <c:v>Sep-2022</c:v>
                </c:pt>
                <c:pt idx="33">
                  <c:v>Oct-2022</c:v>
                </c:pt>
                <c:pt idx="34">
                  <c:v>Nov-2022</c:v>
                </c:pt>
                <c:pt idx="35">
                  <c:v>Déc-2022</c:v>
                </c:pt>
                <c:pt idx="36">
                  <c:v>Jan-2023</c:v>
                </c:pt>
                <c:pt idx="37">
                  <c:v>Fév-2023</c:v>
                </c:pt>
                <c:pt idx="38">
                  <c:v>Mar-2023</c:v>
                </c:pt>
                <c:pt idx="39">
                  <c:v>Avr-2023</c:v>
                </c:pt>
                <c:pt idx="40">
                  <c:v>Mai-2023</c:v>
                </c:pt>
                <c:pt idx="41">
                  <c:v>Jun-2023</c:v>
                </c:pt>
                <c:pt idx="42">
                  <c:v>Jul-2023</c:v>
                </c:pt>
                <c:pt idx="43">
                  <c:v>Aoû-2023</c:v>
                </c:pt>
                <c:pt idx="44">
                  <c:v>Sep-2023</c:v>
                </c:pt>
                <c:pt idx="45">
                  <c:v>Oct-2023</c:v>
                </c:pt>
                <c:pt idx="46">
                  <c:v>Nov-2023</c:v>
                </c:pt>
                <c:pt idx="47">
                  <c:v>Déc-2023</c:v>
                </c:pt>
                <c:pt idx="48">
                  <c:v>Jan-2024</c:v>
                </c:pt>
                <c:pt idx="49">
                  <c:v>Fév-2024</c:v>
                </c:pt>
                <c:pt idx="50">
                  <c:v>Mar-2024</c:v>
                </c:pt>
                <c:pt idx="51">
                  <c:v>Avr-2024</c:v>
                </c:pt>
                <c:pt idx="52">
                  <c:v>Mai-2024</c:v>
                </c:pt>
                <c:pt idx="53">
                  <c:v>Jun-2024</c:v>
                </c:pt>
                <c:pt idx="54">
                  <c:v>Jul-2024</c:v>
                </c:pt>
                <c:pt idx="55">
                  <c:v>Aoû-2024</c:v>
                </c:pt>
                <c:pt idx="56">
                  <c:v>Sep-2024</c:v>
                </c:pt>
                <c:pt idx="57">
                  <c:v>Oct-2024</c:v>
                </c:pt>
                <c:pt idx="58">
                  <c:v>Nov-2024</c:v>
                </c:pt>
                <c:pt idx="59">
                  <c:v>Déc-2024</c:v>
                </c:pt>
              </c:strCache>
            </c:strRef>
          </c:cat>
          <c:val>
            <c:numRef>
              <c:f>Previsions!$E$112:$E$171</c:f>
              <c:numCache>
                <c:formatCode>General</c:formatCode>
                <c:ptCount val="60"/>
                <c:pt idx="48" formatCode="0.00">
                  <c:v>96.827231451016729</c:v>
                </c:pt>
                <c:pt idx="49" formatCode="0.00">
                  <c:v>121.83394438351492</c:v>
                </c:pt>
                <c:pt idx="50" formatCode="0.00">
                  <c:v>127.04612027897608</c:v>
                </c:pt>
                <c:pt idx="51" formatCode="0.00">
                  <c:v>140.36982395221503</c:v>
                </c:pt>
                <c:pt idx="52" formatCode="0.00">
                  <c:v>135.36130540323174</c:v>
                </c:pt>
                <c:pt idx="53" formatCode="0.00">
                  <c:v>121.56542574313733</c:v>
                </c:pt>
                <c:pt idx="54" formatCode="0.00">
                  <c:v>103.97649052748739</c:v>
                </c:pt>
                <c:pt idx="55" formatCode="0.00">
                  <c:v>99.763666422948532</c:v>
                </c:pt>
                <c:pt idx="56" formatCode="0.00">
                  <c:v>85.013758985076365</c:v>
                </c:pt>
                <c:pt idx="57" formatCode="0.00">
                  <c:v>83.064962658315295</c:v>
                </c:pt>
                <c:pt idx="58" formatCode="0.00">
                  <c:v>98.467138553776465</c:v>
                </c:pt>
                <c:pt idx="59" formatCode="0.00">
                  <c:v>100.99737000479318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E-4F5F-88F6-5468D0C8F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008560"/>
        <c:axId val="1201011920"/>
      </c:lineChart>
      <c:catAx>
        <c:axId val="120100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Periodes</a:t>
                </a:r>
              </a:p>
              <a:p>
                <a:pPr>
                  <a:defRPr/>
                </a:pPr>
                <a:endParaRPr lang="fr-CM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1011920"/>
        <c:crosses val="autoZero"/>
        <c:auto val="1"/>
        <c:lblAlgn val="ctr"/>
        <c:lblOffset val="100"/>
        <c:noMultiLvlLbl val="0"/>
      </c:catAx>
      <c:valAx>
        <c:axId val="120101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Valeurs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100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17311</xdr:colOff>
      <xdr:row>4</xdr:row>
      <xdr:rowOff>28395</xdr:rowOff>
    </xdr:from>
    <xdr:to>
      <xdr:col>14</xdr:col>
      <xdr:colOff>18332</xdr:colOff>
      <xdr:row>30</xdr:row>
      <xdr:rowOff>27317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0A74785-8EE6-35EB-ED66-652454657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25400</xdr:colOff>
      <xdr:row>0</xdr:row>
      <xdr:rowOff>69850</xdr:rowOff>
    </xdr:from>
    <xdr:to>
      <xdr:col>10</xdr:col>
      <xdr:colOff>6350</xdr:colOff>
      <xdr:row>1</xdr:row>
      <xdr:rowOff>165100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153503D6-B379-A9F1-E916-ED43F8E2DE06}"/>
            </a:ext>
          </a:extLst>
        </xdr:cNvPr>
        <xdr:cNvSpPr txBox="1"/>
      </xdr:nvSpPr>
      <xdr:spPr>
        <a:xfrm>
          <a:off x="5537200" y="69850"/>
          <a:ext cx="2330450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M" sz="1800" b="1">
              <a:solidFill>
                <a:schemeClr val="accent1">
                  <a:lumMod val="50000"/>
                </a:schemeClr>
              </a:solidFill>
            </a:rPr>
            <a:t>a) Creation Graphique</a:t>
          </a:r>
        </a:p>
      </xdr:txBody>
    </xdr:sp>
    <xdr:clientData/>
  </xdr:twoCellAnchor>
  <xdr:twoCellAnchor>
    <xdr:from>
      <xdr:col>3</xdr:col>
      <xdr:colOff>920750</xdr:colOff>
      <xdr:row>31</xdr:row>
      <xdr:rowOff>177800</xdr:rowOff>
    </xdr:from>
    <xdr:to>
      <xdr:col>13</xdr:col>
      <xdr:colOff>323850</xdr:colOff>
      <xdr:row>46</xdr:row>
      <xdr:rowOff>57150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6328B280-9D67-B9E6-E4E0-D96152535366}"/>
            </a:ext>
          </a:extLst>
        </xdr:cNvPr>
        <xdr:cNvSpPr txBox="1"/>
      </xdr:nvSpPr>
      <xdr:spPr>
        <a:xfrm>
          <a:off x="3206750" y="5886450"/>
          <a:ext cx="7315200" cy="264160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CM" sz="1800" b="1">
              <a:solidFill>
                <a:schemeClr val="tx2">
                  <a:lumMod val="50000"/>
                </a:schemeClr>
              </a:solidFill>
            </a:rPr>
            <a:t>b) Identifiez visuellement les composantes presentes:</a:t>
          </a:r>
        </a:p>
        <a:p>
          <a:pPr algn="ctr"/>
          <a:endParaRPr lang="fr-CM" sz="1800" b="1">
            <a:solidFill>
              <a:schemeClr val="tx2">
                <a:lumMod val="50000"/>
              </a:schemeClr>
            </a:solidFill>
          </a:endParaRPr>
        </a:p>
        <a:p>
          <a:pPr algn="ctr"/>
          <a:r>
            <a:rPr lang="fr-CM" sz="1800" b="1"/>
            <a:t>- </a:t>
          </a:r>
          <a:r>
            <a:rPr lang="fr-CM" sz="1400"/>
            <a:t>Nous remarquons q'il existe une </a:t>
          </a:r>
          <a:r>
            <a:rPr lang="fr-CM" sz="1400" b="1">
              <a:solidFill>
                <a:schemeClr val="tx2"/>
              </a:solidFill>
            </a:rPr>
            <a:t>tendance</a:t>
          </a:r>
          <a:r>
            <a:rPr lang="fr-CM" sz="1400" b="1" baseline="0"/>
            <a:t> </a:t>
          </a:r>
          <a:r>
            <a:rPr lang="fr-CM" sz="1400" baseline="0"/>
            <a:t>si on fait la moyenne des valeurs sur cahque annee ,</a:t>
          </a:r>
          <a:r>
            <a:rPr lang="fr-CM" sz="1400" b="1" baseline="0">
              <a:solidFill>
                <a:schemeClr val="tx2">
                  <a:lumMod val="75000"/>
                </a:schemeClr>
              </a:solidFill>
            </a:rPr>
            <a:t>cette tendance Zt est de type affine : elle est lineaire.</a:t>
          </a:r>
        </a:p>
        <a:p>
          <a:pPr algn="ctr"/>
          <a:endParaRPr lang="fr-CM" sz="1400" b="1" baseline="0">
            <a:solidFill>
              <a:schemeClr val="tx2">
                <a:lumMod val="75000"/>
              </a:schemeClr>
            </a:solidFill>
          </a:endParaRPr>
        </a:p>
        <a:p>
          <a:pPr algn="ctr"/>
          <a:endParaRPr lang="fr-CM" sz="1200" b="1" baseline="0">
            <a:solidFill>
              <a:schemeClr val="tx2">
                <a:lumMod val="75000"/>
              </a:schemeClr>
            </a:solidFill>
          </a:endParaRPr>
        </a:p>
        <a:p>
          <a:pPr algn="ctr"/>
          <a:r>
            <a:rPr lang="fr-CM" sz="1400" b="1" baseline="0">
              <a:solidFill>
                <a:schemeClr val="tx2">
                  <a:lumMod val="75000"/>
                </a:schemeClr>
              </a:solidFill>
            </a:rPr>
            <a:t>- </a:t>
          </a:r>
          <a:r>
            <a:rPr lang="fr-CM" sz="1400" b="0" baseline="0">
              <a:solidFill>
                <a:schemeClr val="tx2">
                  <a:lumMod val="75000"/>
                </a:schemeClr>
              </a:solidFill>
            </a:rPr>
            <a:t>En observant nous pouvons remarquer </a:t>
          </a:r>
          <a:r>
            <a:rPr lang="fr-CM" sz="1400" b="1" i="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Pics systématiques en Fév-Mar-Avr</a:t>
          </a:r>
          <a:r>
            <a:rPr lang="fr-CM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creux en Sep-Oct chaque année</a:t>
          </a:r>
          <a:r>
            <a:rPr lang="fr-CM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dont il existe </a:t>
          </a:r>
          <a:r>
            <a:rPr lang="fr-CM" sz="1400" b="1" i="0" baseline="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une saisonnalite St de periode Annuelle</a:t>
          </a:r>
          <a:r>
            <a:rPr lang="fr-CM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/>
          <a:endParaRPr lang="fr-CM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fr-CM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Nous remarquons egalement les f</a:t>
          </a:r>
          <a:r>
            <a:rPr lang="fr-CM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luctuations aléatoires autour de Zt+St</a:t>
          </a:r>
          <a:r>
            <a:rPr lang="fr-CM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,donc </a:t>
          </a:r>
          <a:r>
            <a:rPr lang="fr-CM" sz="1400" b="1" i="0" baseline="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les bruits Et sont importantes</a:t>
          </a:r>
          <a:r>
            <a:rPr lang="fr-CM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CM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ne pas negliger.</a:t>
          </a:r>
          <a:endParaRPr lang="fr-CM" sz="1400" b="1" baseline="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742950</xdr:colOff>
      <xdr:row>49</xdr:row>
      <xdr:rowOff>101600</xdr:rowOff>
    </xdr:from>
    <xdr:to>
      <xdr:col>11</xdr:col>
      <xdr:colOff>31750</xdr:colOff>
      <xdr:row>51</xdr:row>
      <xdr:rowOff>31750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481212C2-8B33-1220-F30E-6856272F9019}"/>
            </a:ext>
          </a:extLst>
        </xdr:cNvPr>
        <xdr:cNvSpPr txBox="1"/>
      </xdr:nvSpPr>
      <xdr:spPr>
        <a:xfrm>
          <a:off x="1504950" y="9124950"/>
          <a:ext cx="7150100" cy="298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M" sz="1400" b="1">
              <a:solidFill>
                <a:schemeClr val="tx2">
                  <a:lumMod val="50000"/>
                </a:schemeClr>
              </a:solidFill>
            </a:rPr>
            <a:t>c) Application de la</a:t>
          </a:r>
          <a:r>
            <a:rPr lang="fr-CM" sz="1400" b="1" baseline="0">
              <a:solidFill>
                <a:schemeClr val="tx2">
                  <a:lumMod val="50000"/>
                </a:schemeClr>
              </a:solidFill>
            </a:rPr>
            <a:t> methode de BUYS-BALLOT pour derterminer le Modele de decomposition</a:t>
          </a:r>
          <a:endParaRPr lang="fr-CM" sz="14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558800</xdr:colOff>
      <xdr:row>57</xdr:row>
      <xdr:rowOff>152400</xdr:rowOff>
    </xdr:from>
    <xdr:to>
      <xdr:col>14</xdr:col>
      <xdr:colOff>711200</xdr:colOff>
      <xdr:row>63</xdr:row>
      <xdr:rowOff>25400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67C20695-AD84-AECA-91DF-E11D08CDF947}"/>
            </a:ext>
          </a:extLst>
        </xdr:cNvPr>
        <xdr:cNvSpPr txBox="1"/>
      </xdr:nvSpPr>
      <xdr:spPr>
        <a:xfrm>
          <a:off x="2844800" y="10648950"/>
          <a:ext cx="8826500" cy="97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CM" sz="1600" b="1">
              <a:solidFill>
                <a:schemeClr val="accent1"/>
              </a:solidFill>
            </a:rPr>
            <a:t>Interpretation</a:t>
          </a:r>
          <a:r>
            <a:rPr lang="fr-CM" sz="1600" b="1" baseline="0">
              <a:solidFill>
                <a:schemeClr val="accent1"/>
              </a:solidFill>
            </a:rPr>
            <a:t> Methode de buys-Ballot</a:t>
          </a:r>
        </a:p>
        <a:p>
          <a:r>
            <a:rPr lang="fr-CM" sz="1400" baseline="0"/>
            <a:t>Vu </a:t>
          </a:r>
          <a:r>
            <a:rPr lang="fr-CM" sz="1400" b="0" baseline="0"/>
            <a:t>que</a:t>
          </a:r>
          <a:r>
            <a:rPr lang="fr-CM" sz="1400" b="1" baseline="0"/>
            <a:t> la pente a=0,247 de la regression lineaire de l'ecartype sur les moyennes est significativement null </a:t>
          </a:r>
          <a:r>
            <a:rPr lang="fr-CM" sz="1400" baseline="0"/>
            <a:t>alors le modele approprie pour la decompostion de la serie de frequentation Tourisme  est le modele </a:t>
          </a:r>
          <a:r>
            <a:rPr lang="fr-CM" sz="1400" b="1" baseline="0">
              <a:solidFill>
                <a:schemeClr val="accent1"/>
              </a:solidFill>
            </a:rPr>
            <a:t>Additif Xt = Zt + St + Et.</a:t>
          </a:r>
          <a:endParaRPr lang="fr-CM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0</xdr:col>
      <xdr:colOff>495300</xdr:colOff>
      <xdr:row>64</xdr:row>
      <xdr:rowOff>139700</xdr:rowOff>
    </xdr:from>
    <xdr:to>
      <xdr:col>13</xdr:col>
      <xdr:colOff>260350</xdr:colOff>
      <xdr:row>71</xdr:row>
      <xdr:rowOff>82550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6DEC8ABA-88E5-853C-BBF1-F0F4F511B3F1}"/>
            </a:ext>
          </a:extLst>
        </xdr:cNvPr>
        <xdr:cNvSpPr txBox="1"/>
      </xdr:nvSpPr>
      <xdr:spPr>
        <a:xfrm>
          <a:off x="495300" y="11925300"/>
          <a:ext cx="9963150" cy="123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CM" sz="1600" b="1">
              <a:solidFill>
                <a:schemeClr val="tx2">
                  <a:lumMod val="50000"/>
                </a:schemeClr>
              </a:solidFill>
            </a:rPr>
            <a:t>d) Justifications</a:t>
          </a:r>
          <a:r>
            <a:rPr lang="fr-CM" sz="1600" b="1" baseline="0">
              <a:solidFill>
                <a:schemeClr val="tx2">
                  <a:lumMod val="50000"/>
                </a:schemeClr>
              </a:solidFill>
            </a:rPr>
            <a:t> du choix</a:t>
          </a:r>
        </a:p>
        <a:p>
          <a:pPr algn="ctr"/>
          <a:endParaRPr lang="fr-CM" sz="1600" b="1" baseline="0">
            <a:solidFill>
              <a:schemeClr val="tx2">
                <a:lumMod val="50000"/>
              </a:schemeClr>
            </a:solidFill>
          </a:endParaRPr>
        </a:p>
        <a:p>
          <a:r>
            <a:rPr lang="fr-CM" sz="1400" baseline="0"/>
            <a:t>Nous avons choisit le le modele Additif car il remplit la condition de la </a:t>
          </a:r>
          <a:r>
            <a:rPr lang="fr-CM" sz="1400" b="1" baseline="0"/>
            <a:t>methode de Buys-Ballot </a:t>
          </a:r>
          <a:r>
            <a:rPr lang="fr-CM" sz="1400" baseline="0"/>
            <a:t>mais aussi en observant la courbe nous remarquons que  </a:t>
          </a:r>
          <a:r>
            <a:rPr lang="fr-CM" sz="1400" b="1" baseline="0"/>
            <a:t>les amplitudes sont constantes au cours du temps</a:t>
          </a:r>
          <a:r>
            <a:rPr lang="fr-CM" sz="1400" baseline="0"/>
            <a:t> hors mis le bruits. </a:t>
          </a:r>
          <a:endParaRPr lang="fr-CM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82550</xdr:rowOff>
    </xdr:from>
    <xdr:to>
      <xdr:col>14</xdr:col>
      <xdr:colOff>730250</xdr:colOff>
      <xdr:row>7</xdr:row>
      <xdr:rowOff>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55C08E6-7C82-676D-6BC3-BECB869CC0FA}"/>
            </a:ext>
          </a:extLst>
        </xdr:cNvPr>
        <xdr:cNvSpPr txBox="1"/>
      </xdr:nvSpPr>
      <xdr:spPr>
        <a:xfrm>
          <a:off x="107950" y="82550"/>
          <a:ext cx="11579428" cy="12414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M" sz="2000" b="1">
              <a:solidFill>
                <a:schemeClr val="accent1">
                  <a:lumMod val="50000"/>
                </a:schemeClr>
              </a:solidFill>
            </a:rPr>
            <a:t>a)</a:t>
          </a:r>
          <a:r>
            <a:rPr lang="fr-CM" sz="2000" b="1" baseline="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fr-CM" sz="1400" baseline="0"/>
            <a:t>Pour extraire la Tendance Zt de notre serie temporelle nous allons utiliser : </a:t>
          </a:r>
          <a:r>
            <a:rPr lang="fr-CM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fr-CM" sz="1400" b="1" i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Moyenne Mobile d'ordre 12 Centrée (MM12C)</a:t>
          </a:r>
          <a:r>
            <a:rPr lang="fr-CM" sz="1400" b="0" i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fr-CM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CM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Vu que cest une moyenne mobille</a:t>
          </a:r>
          <a:r>
            <a:rPr lang="fr-CM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d'ordre pair 2k avec k=6 ,nous aurons une perte de 6 valeurs au debut et 6 valeurs a la fin.</a:t>
          </a:r>
        </a:p>
        <a:p>
          <a:endParaRPr lang="fr-CM" sz="16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CM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Formule : T(t) = [0.5·Y(t-6) + Y(t-5) + Y(t-4) + ... + Y(t+5) + 0.5·Y(t+6)] / 12</a:t>
          </a:r>
          <a:endParaRPr lang="fr-CM" sz="1400"/>
        </a:p>
      </xdr:txBody>
    </xdr:sp>
    <xdr:clientData/>
  </xdr:twoCellAnchor>
  <xdr:twoCellAnchor>
    <xdr:from>
      <xdr:col>4</xdr:col>
      <xdr:colOff>631567</xdr:colOff>
      <xdr:row>22</xdr:row>
      <xdr:rowOff>34324</xdr:rowOff>
    </xdr:from>
    <xdr:to>
      <xdr:col>19</xdr:col>
      <xdr:colOff>25744</xdr:colOff>
      <xdr:row>59</xdr:row>
      <xdr:rowOff>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D58D60B-D17D-CD78-B476-27676C555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486383</xdr:colOff>
      <xdr:row>61</xdr:row>
      <xdr:rowOff>0</xdr:rowOff>
    </xdr:from>
    <xdr:to>
      <xdr:col>18</xdr:col>
      <xdr:colOff>162127</xdr:colOff>
      <xdr:row>70</xdr:row>
      <xdr:rowOff>67554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4092AA5-43DA-8534-DA0D-E2067F403EFA}"/>
            </a:ext>
          </a:extLst>
        </xdr:cNvPr>
        <xdr:cNvSpPr txBox="1"/>
      </xdr:nvSpPr>
      <xdr:spPr>
        <a:xfrm>
          <a:off x="486383" y="13051277"/>
          <a:ext cx="13659255" cy="17698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M" sz="1800" b="1" i="0">
              <a:solidFill>
                <a:schemeClr val="accent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c) Justification : </a:t>
          </a:r>
          <a:endParaRPr lang="fr-CM" sz="1800">
            <a:solidFill>
              <a:schemeClr val="accent2">
                <a:lumMod val="60000"/>
                <a:lumOff val="40000"/>
              </a:schemeClr>
            </a:solidFill>
            <a:effectLst/>
          </a:endParaRPr>
        </a:p>
        <a:p>
          <a:r>
            <a:rPr lang="fr-CM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fr-CM" sz="1600" b="0" i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fr-CM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saisonnalité est annuelle → </a:t>
          </a:r>
          <a:r>
            <a:rPr lang="fr-CM" sz="1600" b="1" i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période p = 12 </a:t>
          </a:r>
          <a:r>
            <a:rPr lang="fr-CM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mois (pair). </a:t>
          </a:r>
          <a:endParaRPr lang="fr-CM" sz="1600">
            <a:effectLst/>
          </a:endParaRPr>
        </a:p>
        <a:p>
          <a:r>
            <a:rPr lang="fr-CM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fr-CM" sz="1600" b="0" i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CM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Avec p pair, on utilise une MM2×p = MM2×12 centrée qui élimine EXACTEMENT la composante saisonnière. </a:t>
          </a:r>
          <a:endParaRPr lang="fr-CM" sz="1600">
            <a:effectLst/>
          </a:endParaRPr>
        </a:p>
        <a:p>
          <a:r>
            <a:rPr lang="fr-CM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Avantage sur la régression : la MM12C s'adapte aux variations locales de la tendance sans imposer une forme fonctionnelle</a:t>
          </a:r>
          <a:r>
            <a:rPr lang="fr-CM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fr-CM">
            <a:effectLst/>
          </a:endParaRPr>
        </a:p>
        <a:p>
          <a:endParaRPr lang="fr-CM" sz="1100"/>
        </a:p>
      </xdr:txBody>
    </xdr:sp>
    <xdr:clientData/>
  </xdr:twoCellAnchor>
  <xdr:twoCellAnchor>
    <xdr:from>
      <xdr:col>7</xdr:col>
      <xdr:colOff>662021</xdr:colOff>
      <xdr:row>19</xdr:row>
      <xdr:rowOff>27021</xdr:rowOff>
    </xdr:from>
    <xdr:to>
      <xdr:col>17</xdr:col>
      <xdr:colOff>702552</xdr:colOff>
      <xdr:row>21</xdr:row>
      <xdr:rowOff>94574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89945119-8292-EE7F-D08A-E0C00EED5BD1}"/>
            </a:ext>
          </a:extLst>
        </xdr:cNvPr>
        <xdr:cNvSpPr txBox="1"/>
      </xdr:nvSpPr>
      <xdr:spPr>
        <a:xfrm>
          <a:off x="6322978" y="3620851"/>
          <a:ext cx="7606489" cy="445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M" sz="1800" b="1">
              <a:solidFill>
                <a:schemeClr val="accent1">
                  <a:lumMod val="75000"/>
                </a:schemeClr>
              </a:solidFill>
            </a:rPr>
            <a:t>Graphique de Serie Originale</a:t>
          </a:r>
          <a:r>
            <a:rPr lang="fr-CM" sz="1800" b="1" baseline="0">
              <a:solidFill>
                <a:schemeClr val="accent1">
                  <a:lumMod val="75000"/>
                </a:schemeClr>
              </a:solidFill>
            </a:rPr>
            <a:t> et la tentance estimee par moyenne mobiles</a:t>
          </a:r>
          <a:endParaRPr lang="fr-CM" sz="1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133350</xdr:rowOff>
    </xdr:from>
    <xdr:to>
      <xdr:col>12</xdr:col>
      <xdr:colOff>730250</xdr:colOff>
      <xdr:row>4</xdr:row>
      <xdr:rowOff>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C5E930E-41CC-E3C5-EBC0-3AE9221C9EB6}"/>
            </a:ext>
          </a:extLst>
        </xdr:cNvPr>
        <xdr:cNvSpPr txBox="1"/>
      </xdr:nvSpPr>
      <xdr:spPr>
        <a:xfrm>
          <a:off x="19050" y="133350"/>
          <a:ext cx="10312400" cy="603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M" sz="1800" b="1">
              <a:solidFill>
                <a:schemeClr val="accent6"/>
              </a:solidFill>
            </a:rPr>
            <a:t>a) </a:t>
          </a:r>
          <a:r>
            <a:rPr lang="fr-CM" sz="1800" b="1"/>
            <a:t>Calcul des coefficients saisonniers</a:t>
          </a:r>
          <a:r>
            <a:rPr lang="fr-CM" sz="1800" b="1" baseline="0"/>
            <a:t> .</a:t>
          </a:r>
        </a:p>
        <a:p>
          <a:r>
            <a:rPr lang="fr-CM" sz="1400" baseline="0"/>
            <a:t>Vue que nous avons choisit un modele Additif Xt = Zt + St + Et ,ayant extrait la tendance nous avons : </a:t>
          </a:r>
          <a:r>
            <a:rPr lang="fr-CM" sz="1400" b="1" baseline="0"/>
            <a:t>St + Et = Xt - Zt</a:t>
          </a:r>
          <a:endParaRPr lang="fr-CM" sz="1400" b="1"/>
        </a:p>
      </xdr:txBody>
    </xdr:sp>
    <xdr:clientData/>
  </xdr:twoCellAnchor>
  <xdr:twoCellAnchor>
    <xdr:from>
      <xdr:col>7</xdr:col>
      <xdr:colOff>831850</xdr:colOff>
      <xdr:row>4</xdr:row>
      <xdr:rowOff>50800</xdr:rowOff>
    </xdr:from>
    <xdr:to>
      <xdr:col>16</xdr:col>
      <xdr:colOff>603250</xdr:colOff>
      <xdr:row>6</xdr:row>
      <xdr:rowOff>25400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5A00E332-BBD8-ABD8-FB81-20350C30F56C}"/>
            </a:ext>
          </a:extLst>
        </xdr:cNvPr>
        <xdr:cNvSpPr txBox="1"/>
      </xdr:nvSpPr>
      <xdr:spPr>
        <a:xfrm>
          <a:off x="6165850" y="787400"/>
          <a:ext cx="708660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M" sz="1600" b="1">
              <a:solidFill>
                <a:schemeClr val="tx1"/>
              </a:solidFill>
            </a:rPr>
            <a:t>Tableau</a:t>
          </a:r>
          <a:r>
            <a:rPr lang="fr-CM" sz="1600" b="1" baseline="0">
              <a:solidFill>
                <a:schemeClr val="tx1"/>
              </a:solidFill>
            </a:rPr>
            <a:t> de Resultats de calcul d</a:t>
          </a:r>
          <a:r>
            <a:rPr lang="fr-CM" sz="1600" b="1">
              <a:solidFill>
                <a:schemeClr val="tx1"/>
              </a:solidFill>
            </a:rPr>
            <a:t>es coefficients saisonniers avec le Modele Additif</a:t>
          </a:r>
        </a:p>
      </xdr:txBody>
    </xdr:sp>
    <xdr:clientData/>
  </xdr:twoCellAnchor>
  <xdr:twoCellAnchor>
    <xdr:from>
      <xdr:col>9</xdr:col>
      <xdr:colOff>355600</xdr:colOff>
      <xdr:row>19</xdr:row>
      <xdr:rowOff>133350</xdr:rowOff>
    </xdr:from>
    <xdr:to>
      <xdr:col>16</xdr:col>
      <xdr:colOff>501650</xdr:colOff>
      <xdr:row>25</xdr:row>
      <xdr:rowOff>133350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A487BDEF-AD7C-145E-6964-6D4582F99AF7}"/>
            </a:ext>
          </a:extLst>
        </xdr:cNvPr>
        <xdr:cNvSpPr txBox="1"/>
      </xdr:nvSpPr>
      <xdr:spPr>
        <a:xfrm>
          <a:off x="7670800" y="3632200"/>
          <a:ext cx="5480050" cy="11049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M" sz="2000" b="1">
              <a:solidFill>
                <a:schemeClr val="tx1"/>
              </a:solidFill>
            </a:rPr>
            <a:t>la contrainte du modele</a:t>
          </a:r>
          <a:r>
            <a:rPr lang="fr-CM" sz="2000" b="1">
              <a:solidFill>
                <a:schemeClr val="bg1"/>
              </a:solidFill>
            </a:rPr>
            <a:t>:</a:t>
          </a:r>
        </a:p>
        <a:p>
          <a:pPr algn="ctr"/>
          <a:r>
            <a:rPr lang="fr-CM" sz="1400" b="1">
              <a:solidFill>
                <a:schemeClr val="accent6"/>
              </a:solidFill>
            </a:rPr>
            <a:t>Nous remarquons que ∑ coef saisonniers =</a:t>
          </a:r>
          <a:r>
            <a:rPr lang="fr-CM" sz="1400" b="1" baseline="0">
              <a:solidFill>
                <a:schemeClr val="accent6"/>
              </a:solidFill>
            </a:rPr>
            <a:t> 0 ,d'ou la confirmation que le modele Additif a ete le modele de decomposition approprie pour cette Serie temporelle.</a:t>
          </a:r>
          <a:endParaRPr lang="fr-CM" sz="1400" b="1">
            <a:solidFill>
              <a:schemeClr val="accent6"/>
            </a:solidFill>
          </a:endParaRPr>
        </a:p>
      </xdr:txBody>
    </xdr:sp>
    <xdr:clientData/>
  </xdr:twoCellAnchor>
  <xdr:twoCellAnchor>
    <xdr:from>
      <xdr:col>6</xdr:col>
      <xdr:colOff>469900</xdr:colOff>
      <xdr:row>32</xdr:row>
      <xdr:rowOff>6350</xdr:rowOff>
    </xdr:from>
    <xdr:to>
      <xdr:col>19</xdr:col>
      <xdr:colOff>6350</xdr:colOff>
      <xdr:row>38</xdr:row>
      <xdr:rowOff>38100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D29EF3E-22EE-DEDE-E75D-3E9B38902CAE}"/>
            </a:ext>
          </a:extLst>
        </xdr:cNvPr>
        <xdr:cNvSpPr txBox="1"/>
      </xdr:nvSpPr>
      <xdr:spPr>
        <a:xfrm>
          <a:off x="5041900" y="5899150"/>
          <a:ext cx="9994900" cy="11366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M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Interpretations des coefficients saisonniers</a:t>
          </a:r>
        </a:p>
        <a:p>
          <a:r>
            <a:rPr lang="fr-CM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fr-CM" sz="1400" b="0" i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Les mois de Février à Juin présentent des coefficients positifs (activité AU-DESSUS de la tendance). Les mois de Juillet à Janvier présentent des coefficients négatifs (activité EN-DESSOUS de la tendance). Le mois le plus favorable est Mars/Avril, le plus défavorable est Septembre/Octobre</a:t>
          </a:r>
          <a:r>
            <a:rPr lang="fr-CM" sz="1600" b="0" i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.</a:t>
          </a:r>
          <a:endParaRPr lang="fr-CM" sz="16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733424</xdr:colOff>
      <xdr:row>39</xdr:row>
      <xdr:rowOff>168274</xdr:rowOff>
    </xdr:from>
    <xdr:to>
      <xdr:col>16</xdr:col>
      <xdr:colOff>692149</xdr:colOff>
      <xdr:row>59</xdr:row>
      <xdr:rowOff>44449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592817A4-BF3B-27BA-8E54-3F2392F0E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0</xdr:row>
      <xdr:rowOff>177800</xdr:rowOff>
    </xdr:from>
    <xdr:to>
      <xdr:col>15</xdr:col>
      <xdr:colOff>393700</xdr:colOff>
      <xdr:row>3</xdr:row>
      <xdr:rowOff>38100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9FB0990-35F1-9894-4915-2FCAAED3787D}"/>
            </a:ext>
          </a:extLst>
        </xdr:cNvPr>
        <xdr:cNvSpPr txBox="1"/>
      </xdr:nvSpPr>
      <xdr:spPr>
        <a:xfrm>
          <a:off x="7639050" y="177800"/>
          <a:ext cx="4184650" cy="41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M" sz="1600" b="1">
              <a:solidFill>
                <a:schemeClr val="accent1"/>
              </a:solidFill>
            </a:rPr>
            <a:t>a) </a:t>
          </a:r>
          <a:r>
            <a:rPr lang="fr-CM" sz="1400" b="1"/>
            <a:t>Calcul</a:t>
          </a:r>
          <a:r>
            <a:rPr lang="fr-CM" sz="1400" b="1" baseline="0"/>
            <a:t> de la compostante residuelle </a:t>
          </a:r>
          <a:r>
            <a:rPr lang="fr-CM" sz="1400" b="1" baseline="0">
              <a:solidFill>
                <a:schemeClr val="accent2"/>
              </a:solidFill>
            </a:rPr>
            <a:t>Et =</a:t>
          </a:r>
          <a:r>
            <a:rPr lang="fr-CM" sz="1100" baseline="0">
              <a:solidFill>
                <a:schemeClr val="accent2"/>
              </a:solidFill>
            </a:rPr>
            <a:t> </a:t>
          </a:r>
          <a:r>
            <a:rPr lang="fr-CM" sz="1400" b="1" baseline="0">
              <a:solidFill>
                <a:schemeClr val="accent2"/>
              </a:solidFill>
            </a:rPr>
            <a:t>Xt - Zt -St</a:t>
          </a:r>
          <a:endParaRPr lang="fr-CM" sz="1400" b="1">
            <a:solidFill>
              <a:schemeClr val="accent2"/>
            </a:solidFill>
          </a:endParaRPr>
        </a:p>
      </xdr:txBody>
    </xdr:sp>
    <xdr:clientData/>
  </xdr:twoCellAnchor>
  <xdr:twoCellAnchor>
    <xdr:from>
      <xdr:col>9</xdr:col>
      <xdr:colOff>3174</xdr:colOff>
      <xdr:row>5</xdr:row>
      <xdr:rowOff>0</xdr:rowOff>
    </xdr:from>
    <xdr:to>
      <xdr:col>16</xdr:col>
      <xdr:colOff>165100</xdr:colOff>
      <xdr:row>21</xdr:row>
      <xdr:rowOff>133350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2640E2E-9C96-943D-188E-6CB766E27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146050</xdr:rowOff>
    </xdr:from>
    <xdr:to>
      <xdr:col>16</xdr:col>
      <xdr:colOff>0</xdr:colOff>
      <xdr:row>26</xdr:row>
      <xdr:rowOff>19050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8CB382BA-FBE8-93AE-9306-DA4B3C86CE17}"/>
            </a:ext>
          </a:extLst>
        </xdr:cNvPr>
        <xdr:cNvSpPr txBox="1"/>
      </xdr:nvSpPr>
      <xdr:spPr>
        <a:xfrm>
          <a:off x="6858000" y="4381500"/>
          <a:ext cx="53340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CM" sz="1600" b="1">
              <a:solidFill>
                <a:schemeClr val="accent5"/>
              </a:solidFill>
            </a:rPr>
            <a:t>c) </a:t>
          </a:r>
          <a:r>
            <a:rPr lang="fr-CM" sz="1600" b="1"/>
            <a:t>Statistique sur</a:t>
          </a:r>
          <a:r>
            <a:rPr lang="fr-CM" sz="1600" b="1" baseline="0"/>
            <a:t> la Composante Residuelle</a:t>
          </a:r>
          <a:endParaRPr lang="fr-CM" sz="1600" b="1"/>
        </a:p>
      </xdr:txBody>
    </xdr:sp>
    <xdr:clientData/>
  </xdr:twoCellAnchor>
  <xdr:twoCellAnchor>
    <xdr:from>
      <xdr:col>8</xdr:col>
      <xdr:colOff>742950</xdr:colOff>
      <xdr:row>30</xdr:row>
      <xdr:rowOff>158750</xdr:rowOff>
    </xdr:from>
    <xdr:to>
      <xdr:col>18</xdr:col>
      <xdr:colOff>12700</xdr:colOff>
      <xdr:row>41</xdr:row>
      <xdr:rowOff>6350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FCAB4FF4-5CFA-D3DE-CCA1-48896AEDEBB6}"/>
            </a:ext>
          </a:extLst>
        </xdr:cNvPr>
        <xdr:cNvSpPr txBox="1"/>
      </xdr:nvSpPr>
      <xdr:spPr>
        <a:xfrm>
          <a:off x="6838950" y="5994400"/>
          <a:ext cx="7035800" cy="18732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CM" sz="1600" b="1"/>
            <a:t>Les residus semblent-ils aleatoires ou y a-t-il une structure ?</a:t>
          </a:r>
        </a:p>
        <a:p>
          <a:pPr algn="ctr"/>
          <a:endParaRPr lang="fr-CM" sz="1600" b="1"/>
        </a:p>
        <a:p>
          <a:pPr algn="l"/>
          <a:r>
            <a:rPr lang="fr-CM" sz="1400" b="0"/>
            <a:t>	La moyenne des résidus est très proche de 0 (-0,27), ce qui confirme que le modèle additif Y(t) = T(t) + S(t) + R(t) est bien ajusté. Par analyse graphique,le graphique des </a:t>
          </a:r>
          <a:r>
            <a:rPr lang="fr-CM" sz="1400" b="0">
              <a:solidFill>
                <a:schemeClr val="accent6">
                  <a:lumMod val="75000"/>
                </a:schemeClr>
              </a:solidFill>
            </a:rPr>
            <a:t>résidus ne présente pas de structure systématique apparente </a:t>
          </a:r>
          <a:r>
            <a:rPr lang="fr-CM" sz="1400" b="0"/>
            <a:t>(pas de tendance, pas de saisonnalité résiduelle). </a:t>
          </a:r>
          <a:r>
            <a:rPr lang="fr-CM" sz="1400" b="0">
              <a:solidFill>
                <a:schemeClr val="accent6">
                  <a:lumMod val="75000"/>
                </a:schemeClr>
              </a:solidFill>
            </a:rPr>
            <a:t>Le bruit R(t) peut être considéré comme aléatoire </a:t>
          </a:r>
          <a:r>
            <a:rPr lang="fr-CM" sz="1400" b="0"/>
            <a:t>→ le modèle est valide.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6350</xdr:rowOff>
    </xdr:from>
    <xdr:to>
      <xdr:col>10</xdr:col>
      <xdr:colOff>749300</xdr:colOff>
      <xdr:row>9</xdr:row>
      <xdr:rowOff>158750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15B6A3A-4A25-21DA-CC71-D4F59E7B1E84}"/>
            </a:ext>
          </a:extLst>
        </xdr:cNvPr>
        <xdr:cNvSpPr txBox="1"/>
      </xdr:nvSpPr>
      <xdr:spPr>
        <a:xfrm>
          <a:off x="25400" y="6350"/>
          <a:ext cx="8343900" cy="18097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CM" sz="1400">
              <a:solidFill>
                <a:schemeClr val="accent6"/>
              </a:solidFill>
            </a:rPr>
            <a:t>a) Justifions</a:t>
          </a:r>
          <a:r>
            <a:rPr lang="fr-CM" sz="1400" baseline="0">
              <a:solidFill>
                <a:schemeClr val="accent6"/>
              </a:solidFill>
            </a:rPr>
            <a:t> </a:t>
          </a:r>
          <a:r>
            <a:rPr lang="fr-CM" sz="1400">
              <a:solidFill>
                <a:schemeClr val="accent6"/>
              </a:solidFill>
            </a:rPr>
            <a:t> le choix de notre methode</a:t>
          </a:r>
        </a:p>
        <a:p>
          <a:pPr algn="l"/>
          <a:r>
            <a:rPr lang="fr-CM" sz="1400">
              <a:solidFill>
                <a:schemeClr val="accent6">
                  <a:lumMod val="50000"/>
                </a:schemeClr>
              </a:solidFill>
            </a:rPr>
            <a:t>Méthode retenue : Lissage Exponentiel</a:t>
          </a:r>
          <a:r>
            <a:rPr lang="fr-CM" sz="1400" baseline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fr-CM" sz="1400">
              <a:solidFill>
                <a:schemeClr val="accent6">
                  <a:lumMod val="50000"/>
                </a:schemeClr>
              </a:solidFill>
            </a:rPr>
            <a:t>General ou methode DE HOLT-WINTERS ADDITIF (Triple Lissage)</a:t>
          </a:r>
        </a:p>
        <a:p>
          <a:pPr algn="l"/>
          <a:r>
            <a:rPr lang="fr-CM" sz="1400">
              <a:solidFill>
                <a:schemeClr val="accent6"/>
              </a:solidFill>
            </a:rPr>
            <a:t>Justification :</a:t>
          </a:r>
        </a:p>
        <a:p>
          <a:pPr algn="l"/>
          <a:r>
            <a:rPr lang="fr-CM" sz="1400">
              <a:solidFill>
                <a:schemeClr val="accent6">
                  <a:lumMod val="50000"/>
                </a:schemeClr>
              </a:solidFill>
            </a:rPr>
            <a:t>-Tendance : La série présente une tendance légèrement croissante </a:t>
          </a:r>
        </a:p>
        <a:p>
          <a:pPr algn="l"/>
          <a:r>
            <a:rPr lang="fr-CM" sz="1400">
              <a:solidFill>
                <a:schemeClr val="accent6">
                  <a:lumMod val="50000"/>
                </a:schemeClr>
              </a:solidFill>
            </a:rPr>
            <a:t>-Saisonnalité ADDITIVE : L'amplitude des variations saisonnières est constante .</a:t>
          </a:r>
        </a:p>
        <a:p>
          <a:pPr algn="l"/>
          <a:r>
            <a:rPr lang="fr-CM" sz="1400">
              <a:solidFill>
                <a:schemeClr val="accent6">
                  <a:lumMod val="50000"/>
                </a:schemeClr>
              </a:solidFill>
            </a:rPr>
            <a:t>-Niveau de base </a:t>
          </a:r>
        </a:p>
        <a:p>
          <a:pPr algn="l"/>
          <a:r>
            <a:rPr lang="el-GR" sz="1400">
              <a:solidFill>
                <a:schemeClr val="accent6">
                  <a:lumMod val="50000"/>
                </a:schemeClr>
              </a:solidFill>
            </a:rPr>
            <a:t>  </a:t>
          </a:r>
          <a:r>
            <a:rPr lang="fr-CM" sz="1400">
              <a:solidFill>
                <a:schemeClr val="accent6">
                  <a:lumMod val="50000"/>
                </a:schemeClr>
              </a:solidFill>
            </a:rPr>
            <a:t>Holt-Winters Additif est la méthode adaptée quand Tendance + Saisonnalité additive sont présentes.</a:t>
          </a:r>
        </a:p>
      </xdr:txBody>
    </xdr:sp>
    <xdr:clientData/>
  </xdr:twoCellAnchor>
  <xdr:twoCellAnchor>
    <xdr:from>
      <xdr:col>1</xdr:col>
      <xdr:colOff>393700</xdr:colOff>
      <xdr:row>10</xdr:row>
      <xdr:rowOff>82550</xdr:rowOff>
    </xdr:from>
    <xdr:to>
      <xdr:col>7</xdr:col>
      <xdr:colOff>254000</xdr:colOff>
      <xdr:row>12</xdr:row>
      <xdr:rowOff>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1B672B0B-304A-7B98-9E51-4A44A24A3D7C}"/>
            </a:ext>
          </a:extLst>
        </xdr:cNvPr>
        <xdr:cNvSpPr txBox="1"/>
      </xdr:nvSpPr>
      <xdr:spPr>
        <a:xfrm>
          <a:off x="1155700" y="1924050"/>
          <a:ext cx="44323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M" sz="1400" b="1"/>
            <a:t>b) Indiquez les parametres utilises et justifiez leur choix</a:t>
          </a:r>
        </a:p>
        <a:p>
          <a:endParaRPr lang="fr-CM" sz="1400" b="1"/>
        </a:p>
      </xdr:txBody>
    </xdr:sp>
    <xdr:clientData/>
  </xdr:twoCellAnchor>
  <xdr:twoCellAnchor>
    <xdr:from>
      <xdr:col>5</xdr:col>
      <xdr:colOff>454024</xdr:colOff>
      <xdr:row>111</xdr:row>
      <xdr:rowOff>88900</xdr:rowOff>
    </xdr:from>
    <xdr:to>
      <xdr:col>14</xdr:col>
      <xdr:colOff>495300</xdr:colOff>
      <xdr:row>133</xdr:row>
      <xdr:rowOff>171450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B511D6B-BED5-92E7-80CD-8D92BCA74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89A872-6BD7-4623-BE18-C0EA9360009D}" name="Tableau3" displayName="Tableau3" ref="A53:M57" totalsRowShown="0" headerRowDxfId="67" headerRowBorderDxfId="66" tableBorderDxfId="65" totalsRowBorderDxfId="64">
  <autoFilter ref="A53:M57" xr:uid="{0E89A872-6BD7-4623-BE18-C0EA9360009D}"/>
  <tableColumns count="13">
    <tableColumn id="1" xr3:uid="{42F6A7D3-FCB1-40B1-9CDE-506166BC359A}" name="Annees" dataDxfId="63"/>
    <tableColumn id="2" xr3:uid="{0AD0DE30-8160-46E3-9DCF-EA69DDE57275}" name="janvier" dataDxfId="62"/>
    <tableColumn id="3" xr3:uid="{771E075D-2596-42D6-A160-181E61910427}" name="février" dataDxfId="61"/>
    <tableColumn id="4" xr3:uid="{EC484EC1-8AAC-4CD5-AFD8-536412CB3908}" name="mars" dataDxfId="60"/>
    <tableColumn id="5" xr3:uid="{9982C919-B3F2-41FF-85E1-E2A34EA021AF}" name="avril" dataDxfId="59"/>
    <tableColumn id="6" xr3:uid="{1417D842-C24F-4C2C-93A3-F0542FBF94C1}" name="mai" dataDxfId="58"/>
    <tableColumn id="7" xr3:uid="{37F836D1-D5EF-42AE-ADA4-DE132F5BCF62}" name="juin" dataDxfId="57"/>
    <tableColumn id="8" xr3:uid="{ED2D4326-5DB1-4495-B80D-B5C83CE8A09F}" name="juillet" dataDxfId="56"/>
    <tableColumn id="9" xr3:uid="{43C073DD-B922-4334-8012-FA1565E3FB11}" name="août" dataDxfId="55"/>
    <tableColumn id="10" xr3:uid="{70306F91-07B7-4281-90A5-AFABDA0C6011}" name="septembre" dataDxfId="54"/>
    <tableColumn id="11" xr3:uid="{1E4438FC-941A-460E-B9F7-AC452A85AA0D}" name="octobre" dataDxfId="53"/>
    <tableColumn id="12" xr3:uid="{0AF2C8A7-5268-4036-A9FB-2B3644C38EB1}" name="novembre" dataDxfId="52"/>
    <tableColumn id="13" xr3:uid="{0ECFEE0D-330B-41C2-809A-679C2F979332}" name="décembre" dataDxfId="51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A79AF1-04F1-4F62-877A-A0F592831AC1}" name="Tableau6" displayName="Tableau6" ref="A1:C49" totalsRowShown="0" headerRowDxfId="50" headerRowBorderDxfId="49" tableBorderDxfId="48" totalsRowBorderDxfId="47">
  <autoFilter ref="A1:C49" xr:uid="{A9A79AF1-04F1-4F62-877A-A0F592831AC1}"/>
  <tableColumns count="3">
    <tableColumn id="1" xr3:uid="{EB0D6C55-37DE-441C-A6A1-F5C379668D61}" name="Date" dataDxfId="46"/>
    <tableColumn id="2" xr3:uid="{017E829C-9C39-4A0F-B400-9DC437F0D9E1}" name="Annees" dataDxfId="45"/>
    <tableColumn id="3" xr3:uid="{688AB513-87B2-4C91-BA28-DEEB1CA25FA2}" name="Xt" dataDxfId="44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E72FD4-5E6B-4104-8743-393BE158B380}" name="Tableau69" displayName="Tableau69" ref="A11:D59" totalsRowShown="0" headerRowDxfId="43" headerRowBorderDxfId="42" tableBorderDxfId="41" totalsRowBorderDxfId="40">
  <autoFilter ref="A11:D59" xr:uid="{42E72FD4-5E6B-4104-8743-393BE158B380}"/>
  <tableColumns count="4">
    <tableColumn id="1" xr3:uid="{429B0D0F-5AA6-4465-BB2B-FF78EC0760C5}" name="Date" dataDxfId="39"/>
    <tableColumn id="2" xr3:uid="{70DDDA01-A5F8-4BCF-B49E-C7468012D960}" name="Annees" dataDxfId="38"/>
    <tableColumn id="3" xr3:uid="{3DB1F9BF-7BF4-483C-B236-BBDDDED452D9}" name="Xt" dataDxfId="37"/>
    <tableColumn id="4" xr3:uid="{4B325F8A-B872-40F4-927A-7842B6A1C4D0}" name="Zt (MM12C)" dataDxfId="36">
      <calculatedColumnFormula>AVERAGE(AVERAGE(C10:C18),AVERAGE(C10:C19))</calculatedColumnFormula>
    </tableColumn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1A08D12-3C37-4EE5-8568-B745EA91FAC0}" name="Tableau6911" displayName="Tableau6911" ref="A7:F55" totalsRowShown="0" headerRowDxfId="35" headerRowBorderDxfId="34" tableBorderDxfId="33" totalsRowBorderDxfId="32">
  <autoFilter ref="A7:F55" xr:uid="{41A08D12-3C37-4EE5-8568-B745EA91FAC0}"/>
  <tableColumns count="6">
    <tableColumn id="1" xr3:uid="{C0ACB59D-D5E6-46EE-A9F5-B76AC7E5D06D}" name="Date" dataDxfId="31"/>
    <tableColumn id="2" xr3:uid="{2793066E-6803-4BFF-8358-F152ADB7132E}" name="Mois" dataDxfId="30"/>
    <tableColumn id="3" xr3:uid="{417E2E4B-8A75-4F60-8106-D744578D61AD}" name="Xt" dataDxfId="29"/>
    <tableColumn id="4" xr3:uid="{2DB55522-F8D5-4B18-BED5-6C94355E16E9}" name="Zt " dataDxfId="28">
      <calculatedColumnFormula>AVERAGE(AVERAGE(C6:C14),AVERAGE(C6:C15))</calculatedColumnFormula>
    </tableColumn>
    <tableColumn id="5" xr3:uid="{5252D375-3F4C-43A4-8BE5-170F6A5E8891}" name="Xt-Zt" dataDxfId="27">
      <calculatedColumnFormula>Tableau6911[[#This Row],[Xt]]-Tableau6911[[#This Row],[Zt ]]</calculatedColumnFormula>
    </tableColumn>
    <tableColumn id="6" xr3:uid="{028A4EA8-0348-468A-9BF3-D3E39911832E}" name="St" dataDxfId="26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5B5A88-9595-4AA8-A9CD-B9404C50FA78}" name="Tableau11" displayName="Tableau11" ref="H8:V14" totalsRowShown="0">
  <autoFilter ref="H8:V14" xr:uid="{585B5A88-9595-4AA8-A9CD-B9404C50FA78}"/>
  <tableColumns count="15">
    <tableColumn id="1" xr3:uid="{D06CC827-38D7-448F-B03E-6A39419C2720}" name="annee"/>
    <tableColumn id="2" xr3:uid="{A9CB0871-F1D2-4F70-B85A-407241175311}" name="janvier"/>
    <tableColumn id="3" xr3:uid="{96E950B7-A14A-4C55-A6C9-417BF5524D45}" name="février"/>
    <tableColumn id="4" xr3:uid="{1689493B-43B3-4B79-88AF-FD8308A82A28}" name="mars"/>
    <tableColumn id="5" xr3:uid="{2D39458D-AB9C-4994-A36D-34B0F725AD1C}" name="avril"/>
    <tableColumn id="6" xr3:uid="{E1A39DCE-D352-4CF8-AC32-4EE97A9826C5}" name="mai"/>
    <tableColumn id="7" xr3:uid="{10602CC1-6E93-4085-A04D-CA6838D305E9}" name="juin"/>
    <tableColumn id="8" xr3:uid="{17E87707-F2AA-4110-AA54-A8236D6BB192}" name="juillet"/>
    <tableColumn id="9" xr3:uid="{9F81837A-FF9D-4942-87AC-59C0A6943016}" name="août"/>
    <tableColumn id="10" xr3:uid="{BD61535B-8045-441F-8D8A-8E245F2D6609}" name="septembre"/>
    <tableColumn id="11" xr3:uid="{69AA1C1A-B911-4233-AA87-091800088C40}" name="octobre"/>
    <tableColumn id="12" xr3:uid="{38AD3BDB-B45D-46FE-8702-637A8768B537}" name="novembre"/>
    <tableColumn id="13" xr3:uid="{2843465A-D34F-4570-9E8E-420F14020740}" name="décembre"/>
    <tableColumn id="14" xr3:uid="{24A0BB56-8EA5-4D6A-90EB-CD49C1F27467}" name="Somme" dataDxfId="25">
      <calculatedColumnFormula>SUM(Tableau11[[#This Row],[janvier]:[décembre]])</calculatedColumnFormula>
    </tableColumn>
    <tableColumn id="15" xr3:uid="{46D76970-D8AD-48A7-A67F-BFC1D35694F5}" name="correction" dataDxfId="24">
      <calculatedColumnFormula>Tableau11[[#This Row],[Somme]]/12</calculatedColumnFormula>
    </tableColumn>
  </tableColumns>
  <tableStyleInfo name="TableStyleLight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6E156ED-A261-4C75-B110-BFFE9C1B6790}" name="Tableau691115" displayName="Tableau691115" ref="A1:G50" totalsRowCount="1" headerRowDxfId="23" headerRowBorderDxfId="22" tableBorderDxfId="21" totalsRowBorderDxfId="20">
  <autoFilter ref="A1:G49" xr:uid="{76E156ED-A261-4C75-B110-BFFE9C1B6790}"/>
  <tableColumns count="7">
    <tableColumn id="1" xr3:uid="{ADB8A3FC-5D4E-4743-B90C-DCBCEC03F262}" name="Date" dataDxfId="19" totalsRowDxfId="18"/>
    <tableColumn id="2" xr3:uid="{D8A93BCF-DFFA-460A-AF67-2F95892F0311}" name="Mois" dataDxfId="17" totalsRowDxfId="16"/>
    <tableColumn id="3" xr3:uid="{FBEB25C9-B4EA-4B33-B314-A80DCBE063DD}" name="Xt" dataDxfId="15" totalsRowDxfId="14"/>
    <tableColumn id="4" xr3:uid="{218AAC55-EAFD-46DF-B71E-2E3111AD499E}" name="Zt " dataDxfId="13" totalsRowDxfId="12">
      <calculatedColumnFormula>AVERAGE(AVERAGE(#REF!),AVERAGE(#REF!))</calculatedColumnFormula>
    </tableColumn>
    <tableColumn id="5" xr3:uid="{6F7E6D3C-A8B3-4710-82F8-B33A23B91DF2}" name="Xt-Zt" dataDxfId="11" totalsRowDxfId="10">
      <calculatedColumnFormula>Tableau691115[[#This Row],[Xt]]-Tableau691115[[#This Row],[Zt ]]</calculatedColumnFormula>
    </tableColumn>
    <tableColumn id="6" xr3:uid="{04A8B27C-3665-4934-BB49-EB21BB8D41E1}" name="St" dataDxfId="9" totalsRowDxfId="8"/>
    <tableColumn id="8" xr3:uid="{ACE6B757-3B4C-4057-A458-792A5E2D859B}" name="Et" dataDxfId="7" totalsRowDxfId="6">
      <calculatedColumnFormula>Tableau691115[[#This Row],[Xt-Zt]]-Tableau691115[[#This Row],[St]]</calculatedColumnFormula>
    </tableColumn>
  </tableColumns>
  <tableStyleInfo name="TableStyleLight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4143976-88C2-4E65-AF15-0A3D3FBAE015}" name="Tableau16" displayName="Tableau16" ref="L28:O29" totalsRowShown="0" headerRowDxfId="5" dataDxfId="4">
  <autoFilter ref="L28:O29" xr:uid="{34143976-88C2-4E65-AF15-0A3D3FBAE015}"/>
  <tableColumns count="4">
    <tableColumn id="1" xr3:uid="{241AEFE9-3CE8-4328-9F7A-C798A1C99A9C}" name="moyenne" dataDxfId="3"/>
    <tableColumn id="2" xr3:uid="{EB1AAD32-1459-49AF-BF47-68F784BB8C49}" name="Ecart-type" dataDxfId="2"/>
    <tableColumn id="3" xr3:uid="{79ADA8EC-1818-4866-8AFD-15B49A86CF54}" name="minimum" dataDxfId="1"/>
    <tableColumn id="4" xr3:uid="{AB485192-C05B-445F-BDDA-3C2D917F12CB}" name="maximum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Rouge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8268-5D45-48E0-A327-F5372531FA07}">
  <dimension ref="A1:O61"/>
  <sheetViews>
    <sheetView topLeftCell="A3" zoomScaleNormal="100" workbookViewId="0">
      <selection activeCell="O10" sqref="O10"/>
    </sheetView>
  </sheetViews>
  <sheetFormatPr baseColWidth="10" defaultRowHeight="14.5" x14ac:dyDescent="0.35"/>
  <cols>
    <col min="4" max="4" width="13.453125" customWidth="1"/>
    <col min="10" max="10" width="11.81640625" customWidth="1"/>
    <col min="12" max="12" width="11.36328125" customWidth="1"/>
    <col min="13" max="13" width="11.1796875" customWidth="1"/>
  </cols>
  <sheetData>
    <row r="1" spans="1:3" x14ac:dyDescent="0.35">
      <c r="A1" s="7" t="s">
        <v>0</v>
      </c>
      <c r="B1" s="12" t="s">
        <v>51</v>
      </c>
      <c r="C1" s="11" t="s">
        <v>50</v>
      </c>
    </row>
    <row r="2" spans="1:3" x14ac:dyDescent="0.35">
      <c r="A2" s="14" t="s">
        <v>2</v>
      </c>
      <c r="B2" s="2">
        <v>2020</v>
      </c>
      <c r="C2" s="6">
        <v>87.68</v>
      </c>
    </row>
    <row r="3" spans="1:3" x14ac:dyDescent="0.35">
      <c r="A3" s="14" t="s">
        <v>3</v>
      </c>
      <c r="B3" s="2"/>
      <c r="C3" s="6">
        <v>119.79</v>
      </c>
    </row>
    <row r="4" spans="1:3" x14ac:dyDescent="0.35">
      <c r="A4" s="14" t="s">
        <v>4</v>
      </c>
      <c r="B4" s="2"/>
      <c r="C4" s="6">
        <v>135.83000000000001</v>
      </c>
    </row>
    <row r="5" spans="1:3" x14ac:dyDescent="0.35">
      <c r="A5" s="14" t="s">
        <v>5</v>
      </c>
      <c r="B5" s="2"/>
      <c r="C5" s="6">
        <v>107.86</v>
      </c>
    </row>
    <row r="6" spans="1:3" x14ac:dyDescent="0.35">
      <c r="A6" s="14" t="s">
        <v>6</v>
      </c>
      <c r="B6" s="2"/>
      <c r="C6" s="6">
        <v>124.99</v>
      </c>
    </row>
    <row r="7" spans="1:3" x14ac:dyDescent="0.35">
      <c r="A7" s="14" t="s">
        <v>7</v>
      </c>
      <c r="B7" s="2"/>
      <c r="C7" s="6">
        <v>105.73</v>
      </c>
    </row>
    <row r="8" spans="1:3" x14ac:dyDescent="0.35">
      <c r="A8" s="14" t="s">
        <v>8</v>
      </c>
      <c r="B8" s="2"/>
      <c r="C8" s="6">
        <v>97.73</v>
      </c>
    </row>
    <row r="9" spans="1:3" x14ac:dyDescent="0.35">
      <c r="A9" s="14" t="s">
        <v>9</v>
      </c>
      <c r="B9" s="2"/>
      <c r="C9" s="6">
        <v>93.16</v>
      </c>
    </row>
    <row r="10" spans="1:3" x14ac:dyDescent="0.35">
      <c r="A10" s="14" t="s">
        <v>10</v>
      </c>
      <c r="B10" s="2"/>
      <c r="C10" s="6">
        <v>72.14</v>
      </c>
    </row>
    <row r="11" spans="1:3" x14ac:dyDescent="0.35">
      <c r="A11" s="14" t="s">
        <v>11</v>
      </c>
      <c r="B11" s="2"/>
      <c r="C11" s="6">
        <v>65.59</v>
      </c>
    </row>
    <row r="12" spans="1:3" x14ac:dyDescent="0.35">
      <c r="A12" s="14" t="s">
        <v>12</v>
      </c>
      <c r="B12" s="2"/>
      <c r="C12" s="6">
        <v>81.400000000000006</v>
      </c>
    </row>
    <row r="13" spans="1:3" x14ac:dyDescent="0.35">
      <c r="A13" s="14" t="s">
        <v>13</v>
      </c>
      <c r="B13" s="2"/>
      <c r="C13" s="6">
        <v>77.290000000000006</v>
      </c>
    </row>
    <row r="14" spans="1:3" x14ac:dyDescent="0.35">
      <c r="A14" s="14" t="s">
        <v>14</v>
      </c>
      <c r="B14" s="2">
        <v>2021</v>
      </c>
      <c r="C14" s="6">
        <v>85.77</v>
      </c>
    </row>
    <row r="15" spans="1:3" x14ac:dyDescent="0.35">
      <c r="A15" s="14" t="s">
        <v>15</v>
      </c>
      <c r="B15" s="2"/>
      <c r="C15" s="6">
        <v>116.92</v>
      </c>
    </row>
    <row r="16" spans="1:3" x14ac:dyDescent="0.35">
      <c r="A16" s="14" t="s">
        <v>16</v>
      </c>
      <c r="B16" s="2"/>
      <c r="C16" s="6">
        <v>109.88</v>
      </c>
    </row>
    <row r="17" spans="1:3" x14ac:dyDescent="0.35">
      <c r="A17" s="14" t="s">
        <v>17</v>
      </c>
      <c r="B17" s="2"/>
      <c r="C17" s="6">
        <v>131.63</v>
      </c>
    </row>
    <row r="18" spans="1:3" x14ac:dyDescent="0.35">
      <c r="A18" s="14" t="s">
        <v>18</v>
      </c>
      <c r="B18" s="2"/>
      <c r="C18" s="6">
        <v>128.78</v>
      </c>
    </row>
    <row r="19" spans="1:3" x14ac:dyDescent="0.35">
      <c r="A19" s="14" t="s">
        <v>19</v>
      </c>
      <c r="B19" s="2"/>
      <c r="C19" s="6">
        <v>87.85</v>
      </c>
    </row>
    <row r="20" spans="1:3" x14ac:dyDescent="0.35">
      <c r="A20" s="14" t="s">
        <v>20</v>
      </c>
      <c r="B20" s="2"/>
      <c r="C20" s="6">
        <v>93.65</v>
      </c>
    </row>
    <row r="21" spans="1:3" x14ac:dyDescent="0.35">
      <c r="A21" s="14" t="s">
        <v>21</v>
      </c>
      <c r="B21" s="2"/>
      <c r="C21" s="6">
        <v>99.41</v>
      </c>
    </row>
    <row r="22" spans="1:3" x14ac:dyDescent="0.35">
      <c r="A22" s="14" t="s">
        <v>22</v>
      </c>
      <c r="B22" s="2"/>
      <c r="C22" s="6">
        <v>68.040000000000006</v>
      </c>
    </row>
    <row r="23" spans="1:3" x14ac:dyDescent="0.35">
      <c r="A23" s="14" t="s">
        <v>23</v>
      </c>
      <c r="B23" s="2"/>
      <c r="C23" s="6">
        <v>69.459999999999994</v>
      </c>
    </row>
    <row r="24" spans="1:3" x14ac:dyDescent="0.35">
      <c r="A24" s="14" t="s">
        <v>24</v>
      </c>
      <c r="B24" s="2"/>
      <c r="C24" s="6">
        <v>81.99</v>
      </c>
    </row>
    <row r="25" spans="1:3" x14ac:dyDescent="0.35">
      <c r="A25" s="14" t="s">
        <v>25</v>
      </c>
      <c r="B25" s="2"/>
      <c r="C25" s="6">
        <v>96.09</v>
      </c>
    </row>
    <row r="26" spans="1:3" x14ac:dyDescent="0.35">
      <c r="A26" s="14" t="s">
        <v>26</v>
      </c>
      <c r="B26" s="2">
        <v>2022</v>
      </c>
      <c r="C26" s="6">
        <v>98.35</v>
      </c>
    </row>
    <row r="27" spans="1:3" x14ac:dyDescent="0.35">
      <c r="A27" s="14" t="s">
        <v>27</v>
      </c>
      <c r="B27" s="2"/>
      <c r="C27" s="6">
        <v>105.54</v>
      </c>
    </row>
    <row r="28" spans="1:3" x14ac:dyDescent="0.35">
      <c r="A28" s="14" t="s">
        <v>28</v>
      </c>
      <c r="B28" s="2"/>
      <c r="C28" s="6">
        <v>139.88999999999999</v>
      </c>
    </row>
    <row r="29" spans="1:3" x14ac:dyDescent="0.35">
      <c r="A29" s="14" t="s">
        <v>29</v>
      </c>
      <c r="B29" s="2"/>
      <c r="C29" s="6">
        <v>149.82</v>
      </c>
    </row>
    <row r="30" spans="1:3" x14ac:dyDescent="0.35">
      <c r="A30" s="14" t="s">
        <v>30</v>
      </c>
      <c r="B30" s="2"/>
      <c r="C30" s="6">
        <v>130.27000000000001</v>
      </c>
    </row>
    <row r="31" spans="1:3" x14ac:dyDescent="0.35">
      <c r="A31" s="14" t="s">
        <v>31</v>
      </c>
      <c r="B31" s="2"/>
      <c r="C31" s="6">
        <v>116.76</v>
      </c>
    </row>
    <row r="32" spans="1:3" x14ac:dyDescent="0.35">
      <c r="A32" s="14" t="s">
        <v>32</v>
      </c>
      <c r="B32" s="2"/>
      <c r="C32" s="6">
        <v>90.51</v>
      </c>
    </row>
    <row r="33" spans="1:3" x14ac:dyDescent="0.35">
      <c r="A33" s="14" t="s">
        <v>33</v>
      </c>
      <c r="B33" s="2"/>
      <c r="C33" s="6">
        <v>75.739999999999995</v>
      </c>
    </row>
    <row r="34" spans="1:3" x14ac:dyDescent="0.35">
      <c r="A34" s="14" t="s">
        <v>34</v>
      </c>
      <c r="B34" s="2"/>
      <c r="C34" s="6">
        <v>81.96</v>
      </c>
    </row>
    <row r="35" spans="1:3" x14ac:dyDescent="0.35">
      <c r="A35" s="14" t="s">
        <v>35</v>
      </c>
      <c r="B35" s="2"/>
      <c r="C35" s="6">
        <v>79.64</v>
      </c>
    </row>
    <row r="36" spans="1:3" x14ac:dyDescent="0.35">
      <c r="A36" s="14" t="s">
        <v>36</v>
      </c>
      <c r="B36" s="2"/>
      <c r="C36" s="6">
        <v>97.01</v>
      </c>
    </row>
    <row r="37" spans="1:3" x14ac:dyDescent="0.35">
      <c r="A37" s="14" t="s">
        <v>37</v>
      </c>
      <c r="B37" s="2"/>
      <c r="C37" s="6">
        <v>95.05</v>
      </c>
    </row>
    <row r="38" spans="1:3" x14ac:dyDescent="0.35">
      <c r="A38" s="14" t="s">
        <v>38</v>
      </c>
      <c r="B38" s="2">
        <v>2023</v>
      </c>
      <c r="C38" s="6">
        <v>84.99</v>
      </c>
    </row>
    <row r="39" spans="1:3" x14ac:dyDescent="0.35">
      <c r="A39" s="14" t="s">
        <v>39</v>
      </c>
      <c r="B39" s="2"/>
      <c r="C39" s="6">
        <v>122.22</v>
      </c>
    </row>
    <row r="40" spans="1:3" x14ac:dyDescent="0.35">
      <c r="A40" s="14" t="s">
        <v>40</v>
      </c>
      <c r="B40" s="2"/>
      <c r="C40" s="6">
        <v>109.65</v>
      </c>
    </row>
    <row r="41" spans="1:3" x14ac:dyDescent="0.35">
      <c r="A41" s="14" t="s">
        <v>41</v>
      </c>
      <c r="B41" s="2"/>
      <c r="C41" s="6">
        <v>117.89</v>
      </c>
    </row>
    <row r="42" spans="1:3" x14ac:dyDescent="0.35">
      <c r="A42" s="14" t="s">
        <v>42</v>
      </c>
      <c r="B42" s="2"/>
      <c r="C42" s="6">
        <v>125.38</v>
      </c>
    </row>
    <row r="43" spans="1:3" x14ac:dyDescent="0.35">
      <c r="A43" s="14" t="s">
        <v>43</v>
      </c>
      <c r="B43" s="2"/>
      <c r="C43" s="6">
        <v>138.22</v>
      </c>
    </row>
    <row r="44" spans="1:3" x14ac:dyDescent="0.35">
      <c r="A44" s="14" t="s">
        <v>44</v>
      </c>
      <c r="B44" s="2"/>
      <c r="C44" s="6">
        <v>136.47999999999999</v>
      </c>
    </row>
    <row r="45" spans="1:3" x14ac:dyDescent="0.35">
      <c r="A45" s="14" t="s">
        <v>45</v>
      </c>
      <c r="B45" s="2"/>
      <c r="C45" s="6">
        <v>89.57</v>
      </c>
    </row>
    <row r="46" spans="1:3" x14ac:dyDescent="0.35">
      <c r="A46" s="14" t="s">
        <v>46</v>
      </c>
      <c r="B46" s="2"/>
      <c r="C46" s="6">
        <v>76.55</v>
      </c>
    </row>
    <row r="47" spans="1:3" x14ac:dyDescent="0.35">
      <c r="A47" s="14" t="s">
        <v>47</v>
      </c>
      <c r="B47" s="2"/>
      <c r="C47" s="6">
        <v>82.29</v>
      </c>
    </row>
    <row r="48" spans="1:3" x14ac:dyDescent="0.35">
      <c r="A48" s="14" t="s">
        <v>48</v>
      </c>
      <c r="B48" s="2"/>
      <c r="C48" s="6">
        <v>89.81</v>
      </c>
    </row>
    <row r="49" spans="1:15" x14ac:dyDescent="0.35">
      <c r="A49" s="15" t="s">
        <v>49</v>
      </c>
      <c r="B49" s="9"/>
      <c r="C49" s="10">
        <v>86.12</v>
      </c>
    </row>
    <row r="50" spans="1:15" x14ac:dyDescent="0.35">
      <c r="A50" s="1"/>
    </row>
    <row r="51" spans="1:15" x14ac:dyDescent="0.35">
      <c r="A51" s="1"/>
    </row>
    <row r="53" spans="1:15" x14ac:dyDescent="0.35">
      <c r="A53" s="7" t="s">
        <v>51</v>
      </c>
      <c r="B53" s="12" t="s">
        <v>54</v>
      </c>
      <c r="C53" s="12" t="s">
        <v>55</v>
      </c>
      <c r="D53" s="12" t="s">
        <v>56</v>
      </c>
      <c r="E53" s="12" t="s">
        <v>57</v>
      </c>
      <c r="F53" s="12" t="s">
        <v>58</v>
      </c>
      <c r="G53" s="12" t="s">
        <v>59</v>
      </c>
      <c r="H53" s="12" t="s">
        <v>60</v>
      </c>
      <c r="I53" s="12" t="s">
        <v>61</v>
      </c>
      <c r="J53" s="12" t="s">
        <v>62</v>
      </c>
      <c r="K53" s="12" t="s">
        <v>63</v>
      </c>
      <c r="L53" s="12" t="s">
        <v>64</v>
      </c>
      <c r="M53" s="11" t="s">
        <v>65</v>
      </c>
      <c r="N53" s="4" t="s">
        <v>52</v>
      </c>
      <c r="O53" s="4" t="s">
        <v>53</v>
      </c>
    </row>
    <row r="54" spans="1:15" x14ac:dyDescent="0.35">
      <c r="A54" s="5">
        <v>2020</v>
      </c>
      <c r="B54" s="2">
        <v>87.68</v>
      </c>
      <c r="C54" s="2">
        <v>119.79</v>
      </c>
      <c r="D54" s="2">
        <v>135.83000000000001</v>
      </c>
      <c r="E54" s="2">
        <v>107.86</v>
      </c>
      <c r="F54" s="2">
        <v>124.99</v>
      </c>
      <c r="G54" s="2">
        <v>105.73</v>
      </c>
      <c r="H54" s="2">
        <v>97.73</v>
      </c>
      <c r="I54" s="2">
        <v>93.16</v>
      </c>
      <c r="J54" s="2">
        <v>72.14</v>
      </c>
      <c r="K54" s="2">
        <v>65.59</v>
      </c>
      <c r="L54" s="2">
        <v>81.400000000000006</v>
      </c>
      <c r="M54" s="6">
        <v>77.290000000000006</v>
      </c>
      <c r="N54" s="3">
        <f>AVERAGE(C2:C13)</f>
        <v>97.432500000000005</v>
      </c>
      <c r="O54" s="3">
        <f>_xlfn.STDEV.S(B54:M54)</f>
        <v>22.035289104277521</v>
      </c>
    </row>
    <row r="55" spans="1:15" x14ac:dyDescent="0.35">
      <c r="A55" s="5">
        <v>2021</v>
      </c>
      <c r="B55" s="2">
        <v>85.77</v>
      </c>
      <c r="C55" s="2">
        <v>116.92</v>
      </c>
      <c r="D55" s="2">
        <v>109.88</v>
      </c>
      <c r="E55" s="2">
        <v>131.63</v>
      </c>
      <c r="F55" s="2">
        <v>128.78</v>
      </c>
      <c r="G55" s="2">
        <v>87.85</v>
      </c>
      <c r="H55" s="2">
        <v>93.65</v>
      </c>
      <c r="I55" s="2">
        <v>99.41</v>
      </c>
      <c r="J55" s="2">
        <v>68.040000000000006</v>
      </c>
      <c r="K55" s="2">
        <v>69.459999999999994</v>
      </c>
      <c r="L55" s="2">
        <v>81.99</v>
      </c>
      <c r="M55" s="6">
        <v>96.09</v>
      </c>
      <c r="N55" s="3">
        <f>AVERAGE(C14:C25)</f>
        <v>97.455833333333317</v>
      </c>
      <c r="O55" s="3">
        <f>_xlfn.STDEV.S(B55:M55)</f>
        <v>20.931794197663489</v>
      </c>
    </row>
    <row r="56" spans="1:15" x14ac:dyDescent="0.35">
      <c r="A56" s="5">
        <v>2022</v>
      </c>
      <c r="B56" s="2">
        <v>98.35</v>
      </c>
      <c r="C56" s="2">
        <v>105.54</v>
      </c>
      <c r="D56" s="2">
        <v>139.88999999999999</v>
      </c>
      <c r="E56" s="2">
        <v>149.82</v>
      </c>
      <c r="F56" s="2">
        <v>130.27000000000001</v>
      </c>
      <c r="G56" s="2">
        <v>116.76</v>
      </c>
      <c r="H56" s="2">
        <v>90.51</v>
      </c>
      <c r="I56" s="2">
        <v>75.739999999999995</v>
      </c>
      <c r="J56" s="2">
        <v>81.96</v>
      </c>
      <c r="K56" s="2">
        <v>79.64</v>
      </c>
      <c r="L56" s="2">
        <v>97.01</v>
      </c>
      <c r="M56" s="6">
        <v>95.05</v>
      </c>
      <c r="N56" s="3">
        <f>AVERAGE(C26:C37)</f>
        <v>105.045</v>
      </c>
      <c r="O56" s="3">
        <f>_xlfn.STDEV.S(B56:M56)</f>
        <v>24.215746755140401</v>
      </c>
    </row>
    <row r="57" spans="1:15" x14ac:dyDescent="0.35">
      <c r="A57" s="8">
        <v>2023</v>
      </c>
      <c r="B57" s="9">
        <v>84.99</v>
      </c>
      <c r="C57" s="9">
        <v>122.22</v>
      </c>
      <c r="D57" s="9">
        <v>109.65</v>
      </c>
      <c r="E57" s="9">
        <v>117.89</v>
      </c>
      <c r="F57" s="9">
        <v>125.38</v>
      </c>
      <c r="G57" s="9">
        <v>138.22</v>
      </c>
      <c r="H57" s="9">
        <v>136.47999999999999</v>
      </c>
      <c r="I57" s="9">
        <v>89.57</v>
      </c>
      <c r="J57" s="9">
        <v>76.55</v>
      </c>
      <c r="K57" s="9">
        <v>82.29</v>
      </c>
      <c r="L57" s="9">
        <v>89.81</v>
      </c>
      <c r="M57" s="10">
        <v>86.12</v>
      </c>
      <c r="N57" s="3">
        <f>AVERAGE(B57:M57)</f>
        <v>104.93083333333334</v>
      </c>
      <c r="O57" s="3">
        <f>_xlfn.STDEV.S(B57:M57)</f>
        <v>22.451910005137417</v>
      </c>
    </row>
    <row r="60" spans="1:15" x14ac:dyDescent="0.35">
      <c r="B60" s="115" t="s">
        <v>66</v>
      </c>
      <c r="C60" s="117">
        <f>SLOPE(O54:O57,N54:N57)</f>
        <v>0.24678772928746431</v>
      </c>
    </row>
    <row r="61" spans="1:15" x14ac:dyDescent="0.35">
      <c r="B61" s="116"/>
      <c r="C61" s="118"/>
    </row>
  </sheetData>
  <mergeCells count="2">
    <mergeCell ref="B60:B61"/>
    <mergeCell ref="C60:C61"/>
  </mergeCells>
  <phoneticPr fontId="3" type="noConversion"/>
  <conditionalFormatting sqref="I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E9F4-6049-442B-879F-D96952CE251B}">
  <dimension ref="A11:D59"/>
  <sheetViews>
    <sheetView topLeftCell="A8" zoomScale="48" zoomScaleNormal="48" workbookViewId="0">
      <selection activeCell="AD34" sqref="AD34"/>
    </sheetView>
  </sheetViews>
  <sheetFormatPr baseColWidth="10" defaultRowHeight="14.5" x14ac:dyDescent="0.35"/>
  <cols>
    <col min="4" max="4" width="16" bestFit="1" customWidth="1"/>
  </cols>
  <sheetData>
    <row r="11" spans="1:4" x14ac:dyDescent="0.35">
      <c r="A11" s="7" t="s">
        <v>0</v>
      </c>
      <c r="B11" s="12" t="s">
        <v>51</v>
      </c>
      <c r="C11" s="12" t="s">
        <v>50</v>
      </c>
      <c r="D11" s="11" t="s">
        <v>67</v>
      </c>
    </row>
    <row r="12" spans="1:4" x14ac:dyDescent="0.35">
      <c r="A12" s="14" t="s">
        <v>2</v>
      </c>
      <c r="B12" s="2">
        <v>2020</v>
      </c>
      <c r="C12" s="2">
        <v>87.68</v>
      </c>
      <c r="D12" s="16">
        <v>0</v>
      </c>
    </row>
    <row r="13" spans="1:4" x14ac:dyDescent="0.35">
      <c r="A13" s="14" t="s">
        <v>3</v>
      </c>
      <c r="B13" s="2"/>
      <c r="C13" s="2">
        <v>119.79</v>
      </c>
      <c r="D13" s="16">
        <v>0</v>
      </c>
    </row>
    <row r="14" spans="1:4" x14ac:dyDescent="0.35">
      <c r="A14" s="14" t="s">
        <v>4</v>
      </c>
      <c r="B14" s="2"/>
      <c r="C14" s="2">
        <v>135.83000000000001</v>
      </c>
      <c r="D14" s="16">
        <v>0</v>
      </c>
    </row>
    <row r="15" spans="1:4" x14ac:dyDescent="0.35">
      <c r="A15" s="14" t="s">
        <v>5</v>
      </c>
      <c r="B15" s="2"/>
      <c r="C15" s="2">
        <v>107.86</v>
      </c>
      <c r="D15" s="16">
        <v>0</v>
      </c>
    </row>
    <row r="16" spans="1:4" x14ac:dyDescent="0.35">
      <c r="A16" s="14" t="s">
        <v>6</v>
      </c>
      <c r="B16" s="2"/>
      <c r="C16" s="2">
        <v>124.99</v>
      </c>
      <c r="D16" s="16">
        <v>0</v>
      </c>
    </row>
    <row r="17" spans="1:4" x14ac:dyDescent="0.35">
      <c r="A17" s="14" t="s">
        <v>7</v>
      </c>
      <c r="B17" s="2"/>
      <c r="C17" s="2">
        <v>105.73</v>
      </c>
      <c r="D17" s="16">
        <v>0</v>
      </c>
    </row>
    <row r="18" spans="1:4" x14ac:dyDescent="0.35">
      <c r="A18" s="14" t="s">
        <v>8</v>
      </c>
      <c r="B18" s="2"/>
      <c r="C18" s="2">
        <v>97.73</v>
      </c>
      <c r="D18" s="17">
        <f>AVERAGE(AVERAGE(C12:C23),AVERAGE(C13:C24))</f>
        <v>97.352916666666658</v>
      </c>
    </row>
    <row r="19" spans="1:4" x14ac:dyDescent="0.35">
      <c r="A19" s="14" t="s">
        <v>9</v>
      </c>
      <c r="B19" s="2"/>
      <c r="C19" s="2">
        <v>93.16</v>
      </c>
      <c r="D19" s="17">
        <f t="shared" ref="D19:D53" si="0">AVERAGE(AVERAGE(C13:C24),AVERAGE(C14:C25))</f>
        <v>97.153750000000002</v>
      </c>
    </row>
    <row r="20" spans="1:4" x14ac:dyDescent="0.35">
      <c r="A20" s="14" t="s">
        <v>10</v>
      </c>
      <c r="B20" s="2"/>
      <c r="C20" s="2">
        <v>72.14</v>
      </c>
      <c r="D20" s="17">
        <f t="shared" si="0"/>
        <v>95.952916666666681</v>
      </c>
    </row>
    <row r="21" spans="1:4" x14ac:dyDescent="0.35">
      <c r="A21" s="14" t="s">
        <v>11</v>
      </c>
      <c r="B21" s="2"/>
      <c r="C21" s="2">
        <v>65.59</v>
      </c>
      <c r="D21" s="17">
        <f t="shared" si="0"/>
        <v>95.862083333333345</v>
      </c>
    </row>
    <row r="22" spans="1:4" x14ac:dyDescent="0.35">
      <c r="A22" s="14" t="s">
        <v>12</v>
      </c>
      <c r="B22" s="2"/>
      <c r="C22" s="2">
        <v>81.400000000000006</v>
      </c>
      <c r="D22" s="17">
        <f t="shared" si="0"/>
        <v>97.010416666666657</v>
      </c>
    </row>
    <row r="23" spans="1:4" x14ac:dyDescent="0.35">
      <c r="A23" s="14" t="s">
        <v>13</v>
      </c>
      <c r="B23" s="2"/>
      <c r="C23" s="2">
        <v>77.290000000000006</v>
      </c>
      <c r="D23" s="17">
        <f t="shared" si="0"/>
        <v>96.423333333333318</v>
      </c>
    </row>
    <row r="24" spans="1:4" x14ac:dyDescent="0.35">
      <c r="A24" s="14" t="s">
        <v>14</v>
      </c>
      <c r="B24" s="2">
        <v>2021</v>
      </c>
      <c r="C24" s="2">
        <v>85.77</v>
      </c>
      <c r="D24" s="17">
        <f t="shared" si="0"/>
        <v>95.508333333333326</v>
      </c>
    </row>
    <row r="25" spans="1:4" x14ac:dyDescent="0.35">
      <c r="A25" s="14" t="s">
        <v>15</v>
      </c>
      <c r="B25" s="2"/>
      <c r="C25" s="2">
        <v>116.92</v>
      </c>
      <c r="D25" s="17">
        <f t="shared" si="0"/>
        <v>95.598749999999995</v>
      </c>
    </row>
    <row r="26" spans="1:4" x14ac:dyDescent="0.35">
      <c r="A26" s="14" t="s">
        <v>16</v>
      </c>
      <c r="B26" s="2"/>
      <c r="C26" s="2">
        <v>109.88</v>
      </c>
      <c r="D26" s="17">
        <f t="shared" si="0"/>
        <v>95.688333333333333</v>
      </c>
    </row>
    <row r="27" spans="1:4" x14ac:dyDescent="0.35">
      <c r="A27" s="14" t="s">
        <v>17</v>
      </c>
      <c r="B27" s="2"/>
      <c r="C27" s="2">
        <v>131.63</v>
      </c>
      <c r="D27" s="17">
        <f t="shared" si="0"/>
        <v>95.678749999999994</v>
      </c>
    </row>
    <row r="28" spans="1:4" x14ac:dyDescent="0.35">
      <c r="A28" s="14" t="s">
        <v>18</v>
      </c>
      <c r="B28" s="2"/>
      <c r="C28" s="2">
        <v>128.78</v>
      </c>
      <c r="D28" s="17">
        <f t="shared" si="0"/>
        <v>95.864583333333314</v>
      </c>
    </row>
    <row r="29" spans="1:4" x14ac:dyDescent="0.35">
      <c r="A29" s="14" t="s">
        <v>19</v>
      </c>
      <c r="B29" s="2"/>
      <c r="C29" s="2">
        <v>87.85</v>
      </c>
      <c r="D29" s="17">
        <f t="shared" si="0"/>
        <v>96.672499999999985</v>
      </c>
    </row>
    <row r="30" spans="1:4" x14ac:dyDescent="0.35">
      <c r="A30" s="14" t="s">
        <v>20</v>
      </c>
      <c r="B30" s="2"/>
      <c r="C30" s="2">
        <v>93.65</v>
      </c>
      <c r="D30" s="17">
        <f t="shared" si="0"/>
        <v>97.97999999999999</v>
      </c>
    </row>
    <row r="31" spans="1:4" x14ac:dyDescent="0.35">
      <c r="A31" s="14" t="s">
        <v>21</v>
      </c>
      <c r="B31" s="2"/>
      <c r="C31" s="2">
        <v>99.41</v>
      </c>
      <c r="D31" s="17">
        <f t="shared" si="0"/>
        <v>98.03</v>
      </c>
    </row>
    <row r="32" spans="1:4" x14ac:dyDescent="0.35">
      <c r="A32" s="14" t="s">
        <v>22</v>
      </c>
      <c r="B32" s="2"/>
      <c r="C32" s="2">
        <v>68.040000000000006</v>
      </c>
      <c r="D32" s="17">
        <f t="shared" si="0"/>
        <v>98.806249999999991</v>
      </c>
    </row>
    <row r="33" spans="1:4" x14ac:dyDescent="0.35">
      <c r="A33" s="14" t="s">
        <v>23</v>
      </c>
      <c r="B33" s="2"/>
      <c r="C33" s="2">
        <v>69.459999999999994</v>
      </c>
      <c r="D33" s="17">
        <f t="shared" si="0"/>
        <v>100.81458333333333</v>
      </c>
    </row>
    <row r="34" spans="1:4" x14ac:dyDescent="0.35">
      <c r="A34" s="14" t="s">
        <v>24</v>
      </c>
      <c r="B34" s="2"/>
      <c r="C34" s="2">
        <v>81.99</v>
      </c>
      <c r="D34" s="17">
        <f t="shared" si="0"/>
        <v>101.63458333333332</v>
      </c>
    </row>
    <row r="35" spans="1:4" x14ac:dyDescent="0.35">
      <c r="A35" s="14" t="s">
        <v>25</v>
      </c>
      <c r="B35" s="2"/>
      <c r="C35" s="2">
        <v>96.09</v>
      </c>
      <c r="D35" s="17">
        <f t="shared" si="0"/>
        <v>102.90125</v>
      </c>
    </row>
    <row r="36" spans="1:4" x14ac:dyDescent="0.35">
      <c r="A36" s="14" t="s">
        <v>26</v>
      </c>
      <c r="B36" s="2">
        <v>2022</v>
      </c>
      <c r="C36" s="2">
        <v>98.35</v>
      </c>
      <c r="D36" s="17">
        <f t="shared" si="0"/>
        <v>103.97499999999999</v>
      </c>
    </row>
    <row r="37" spans="1:4" x14ac:dyDescent="0.35">
      <c r="A37" s="14" t="s">
        <v>27</v>
      </c>
      <c r="B37" s="2"/>
      <c r="C37" s="2">
        <v>105.54</v>
      </c>
      <c r="D37" s="17">
        <f t="shared" si="0"/>
        <v>102.85791666666665</v>
      </c>
    </row>
    <row r="38" spans="1:4" x14ac:dyDescent="0.35">
      <c r="A38" s="14" t="s">
        <v>28</v>
      </c>
      <c r="B38" s="2"/>
      <c r="C38" s="2">
        <v>139.88999999999999</v>
      </c>
      <c r="D38" s="17">
        <f t="shared" si="0"/>
        <v>102.45166666666665</v>
      </c>
    </row>
    <row r="39" spans="1:4" x14ac:dyDescent="0.35">
      <c r="A39" s="14" t="s">
        <v>29</v>
      </c>
      <c r="B39" s="2"/>
      <c r="C39" s="2">
        <v>149.82</v>
      </c>
      <c r="D39" s="17">
        <f t="shared" si="0"/>
        <v>103.45583333333332</v>
      </c>
    </row>
    <row r="40" spans="1:4" x14ac:dyDescent="0.35">
      <c r="A40" s="14" t="s">
        <v>30</v>
      </c>
      <c r="B40" s="2"/>
      <c r="C40" s="2">
        <v>130.27000000000001</v>
      </c>
      <c r="D40" s="17">
        <f t="shared" si="0"/>
        <v>104.50583333333333</v>
      </c>
    </row>
    <row r="41" spans="1:4" x14ac:dyDescent="0.35">
      <c r="A41" s="14" t="s">
        <v>31</v>
      </c>
      <c r="B41" s="2"/>
      <c r="C41" s="2">
        <v>116.76</v>
      </c>
      <c r="D41" s="17">
        <f t="shared" si="0"/>
        <v>105.08833333333334</v>
      </c>
    </row>
    <row r="42" spans="1:4" x14ac:dyDescent="0.35">
      <c r="A42" s="14" t="s">
        <v>32</v>
      </c>
      <c r="B42" s="2"/>
      <c r="C42" s="2">
        <v>90.51</v>
      </c>
      <c r="D42" s="17">
        <f t="shared" si="0"/>
        <v>104.48833333333334</v>
      </c>
    </row>
    <row r="43" spans="1:4" x14ac:dyDescent="0.35">
      <c r="A43" s="14" t="s">
        <v>33</v>
      </c>
      <c r="B43" s="2"/>
      <c r="C43" s="2">
        <v>75.739999999999995</v>
      </c>
      <c r="D43" s="17">
        <f t="shared" si="0"/>
        <v>104.62666666666667</v>
      </c>
    </row>
    <row r="44" spans="1:4" x14ac:dyDescent="0.35">
      <c r="A44" s="14" t="s">
        <v>34</v>
      </c>
      <c r="B44" s="2"/>
      <c r="C44" s="2">
        <v>81.96</v>
      </c>
      <c r="D44" s="17">
        <f t="shared" si="0"/>
        <v>104.06166666666667</v>
      </c>
    </row>
    <row r="45" spans="1:4" x14ac:dyDescent="0.35">
      <c r="A45" s="14" t="s">
        <v>35</v>
      </c>
      <c r="B45" s="2"/>
      <c r="C45" s="2">
        <v>79.64</v>
      </c>
      <c r="D45" s="17">
        <f t="shared" si="0"/>
        <v>101.47125</v>
      </c>
    </row>
    <row r="46" spans="1:4" x14ac:dyDescent="0.35">
      <c r="A46" s="14" t="s">
        <v>36</v>
      </c>
      <c r="B46" s="2"/>
      <c r="C46" s="2">
        <v>97.01</v>
      </c>
      <c r="D46" s="17">
        <f t="shared" si="0"/>
        <v>99.937083333333334</v>
      </c>
    </row>
    <row r="47" spans="1:4" x14ac:dyDescent="0.35">
      <c r="A47" s="14" t="s">
        <v>37</v>
      </c>
      <c r="B47" s="2"/>
      <c r="C47" s="2">
        <v>95.05</v>
      </c>
      <c r="D47" s="17">
        <f t="shared" si="0"/>
        <v>100.6275</v>
      </c>
    </row>
    <row r="48" spans="1:4" x14ac:dyDescent="0.35">
      <c r="A48" s="14" t="s">
        <v>38</v>
      </c>
      <c r="B48" s="2">
        <v>2023</v>
      </c>
      <c r="C48" s="2">
        <v>84.99</v>
      </c>
      <c r="D48" s="17">
        <f t="shared" si="0"/>
        <v>103.43708333333333</v>
      </c>
    </row>
    <row r="49" spans="1:4" x14ac:dyDescent="0.35">
      <c r="A49" s="14" t="s">
        <v>39</v>
      </c>
      <c r="B49" s="2"/>
      <c r="C49" s="2">
        <v>122.22</v>
      </c>
      <c r="D49" s="17">
        <f t="shared" si="0"/>
        <v>105.92875000000001</v>
      </c>
    </row>
    <row r="50" spans="1:4" x14ac:dyDescent="0.35">
      <c r="A50" s="14" t="s">
        <v>40</v>
      </c>
      <c r="B50" s="2"/>
      <c r="C50" s="2">
        <v>109.65</v>
      </c>
      <c r="D50" s="17">
        <f t="shared" si="0"/>
        <v>106.27958333333333</v>
      </c>
    </row>
    <row r="51" spans="1:4" x14ac:dyDescent="0.35">
      <c r="A51" s="14" t="s">
        <v>41</v>
      </c>
      <c r="B51" s="2"/>
      <c r="C51" s="2">
        <v>117.89</v>
      </c>
      <c r="D51" s="17">
        <f t="shared" si="0"/>
        <v>106.16458333333333</v>
      </c>
    </row>
    <row r="52" spans="1:4" x14ac:dyDescent="0.35">
      <c r="A52" s="14" t="s">
        <v>42</v>
      </c>
      <c r="B52" s="2"/>
      <c r="C52" s="2">
        <v>125.38</v>
      </c>
      <c r="D52" s="17">
        <f t="shared" si="0"/>
        <v>105.97499999999999</v>
      </c>
    </row>
    <row r="53" spans="1:4" x14ac:dyDescent="0.35">
      <c r="A53" s="14" t="s">
        <v>43</v>
      </c>
      <c r="B53" s="2"/>
      <c r="C53" s="2">
        <v>138.22</v>
      </c>
      <c r="D53" s="17">
        <f t="shared" si="0"/>
        <v>105.30291666666668</v>
      </c>
    </row>
    <row r="54" spans="1:4" x14ac:dyDescent="0.35">
      <c r="A54" s="14" t="s">
        <v>44</v>
      </c>
      <c r="B54" s="2"/>
      <c r="C54" s="2">
        <v>136.47999999999999</v>
      </c>
      <c r="D54" s="18">
        <v>0</v>
      </c>
    </row>
    <row r="55" spans="1:4" x14ac:dyDescent="0.35">
      <c r="A55" s="14" t="s">
        <v>45</v>
      </c>
      <c r="B55" s="2"/>
      <c r="C55" s="2">
        <v>89.57</v>
      </c>
      <c r="D55" s="18">
        <v>0</v>
      </c>
    </row>
    <row r="56" spans="1:4" x14ac:dyDescent="0.35">
      <c r="A56" s="14" t="s">
        <v>46</v>
      </c>
      <c r="B56" s="2"/>
      <c r="C56" s="2">
        <v>76.55</v>
      </c>
      <c r="D56" s="18">
        <v>0</v>
      </c>
    </row>
    <row r="57" spans="1:4" x14ac:dyDescent="0.35">
      <c r="A57" s="14" t="s">
        <v>47</v>
      </c>
      <c r="B57" s="2"/>
      <c r="C57" s="2">
        <v>82.29</v>
      </c>
      <c r="D57" s="18">
        <v>0</v>
      </c>
    </row>
    <row r="58" spans="1:4" x14ac:dyDescent="0.35">
      <c r="A58" s="14" t="s">
        <v>48</v>
      </c>
      <c r="B58" s="2"/>
      <c r="C58" s="2">
        <v>89.81</v>
      </c>
      <c r="D58" s="18">
        <v>0</v>
      </c>
    </row>
    <row r="59" spans="1:4" x14ac:dyDescent="0.35">
      <c r="A59" s="15" t="s">
        <v>49</v>
      </c>
      <c r="B59" s="9"/>
      <c r="C59" s="9">
        <v>86.12</v>
      </c>
      <c r="D59" s="18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43D2-5305-4A9F-B5F7-79E77F4CB82D}">
  <dimension ref="A7:V55"/>
  <sheetViews>
    <sheetView topLeftCell="B38" workbookViewId="0">
      <selection activeCell="F7" sqref="F7:F55"/>
    </sheetView>
  </sheetViews>
  <sheetFormatPr baseColWidth="10" defaultRowHeight="14.5" x14ac:dyDescent="0.35"/>
  <cols>
    <col min="7" max="7" width="10.90625" customWidth="1"/>
    <col min="8" max="8" width="12.81640625" customWidth="1"/>
    <col min="9" max="9" width="15.54296875" customWidth="1"/>
    <col min="17" max="17" width="11.81640625" customWidth="1"/>
    <col min="19" max="19" width="11.36328125" customWidth="1"/>
    <col min="20" max="20" width="11.1796875" customWidth="1"/>
  </cols>
  <sheetData>
    <row r="7" spans="1:22" x14ac:dyDescent="0.35">
      <c r="A7" s="7" t="s">
        <v>0</v>
      </c>
      <c r="B7" s="12" t="s">
        <v>76</v>
      </c>
      <c r="C7" s="12" t="s">
        <v>50</v>
      </c>
      <c r="D7" s="11" t="s">
        <v>68</v>
      </c>
      <c r="E7" s="12" t="s">
        <v>70</v>
      </c>
      <c r="F7" s="12" t="s">
        <v>69</v>
      </c>
    </row>
    <row r="8" spans="1:22" x14ac:dyDescent="0.35">
      <c r="A8" s="14" t="s">
        <v>2</v>
      </c>
      <c r="B8" s="2" t="s">
        <v>79</v>
      </c>
      <c r="C8" s="2">
        <v>87.68</v>
      </c>
      <c r="D8" s="16">
        <v>0</v>
      </c>
      <c r="E8" s="19"/>
      <c r="F8" s="25">
        <v>-10.995185185185187</v>
      </c>
      <c r="H8" t="s">
        <v>71</v>
      </c>
      <c r="I8" t="s">
        <v>54</v>
      </c>
      <c r="J8" t="s">
        <v>55</v>
      </c>
      <c r="K8" t="s">
        <v>56</v>
      </c>
      <c r="L8" t="s">
        <v>57</v>
      </c>
      <c r="M8" t="s">
        <v>58</v>
      </c>
      <c r="N8" t="s">
        <v>59</v>
      </c>
      <c r="O8" t="s">
        <v>60</v>
      </c>
      <c r="P8" t="s">
        <v>61</v>
      </c>
      <c r="Q8" t="s">
        <v>62</v>
      </c>
      <c r="R8" t="s">
        <v>63</v>
      </c>
      <c r="S8" t="s">
        <v>64</v>
      </c>
      <c r="T8" t="s">
        <v>65</v>
      </c>
      <c r="U8" t="s">
        <v>72</v>
      </c>
      <c r="V8" t="s">
        <v>75</v>
      </c>
    </row>
    <row r="9" spans="1:22" x14ac:dyDescent="0.35">
      <c r="A9" s="14" t="s">
        <v>3</v>
      </c>
      <c r="B9" s="2" t="s">
        <v>80</v>
      </c>
      <c r="C9" s="2">
        <v>119.79</v>
      </c>
      <c r="D9" s="16">
        <v>0</v>
      </c>
      <c r="E9" s="19"/>
      <c r="F9" s="25">
        <v>13.706481481481484</v>
      </c>
      <c r="H9">
        <v>2020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0.37708333333334565</v>
      </c>
      <c r="P9">
        <v>-3.9937500000000057</v>
      </c>
      <c r="Q9">
        <v>-23.81291666666668</v>
      </c>
      <c r="R9">
        <v>-30.272083333333342</v>
      </c>
      <c r="S9">
        <v>-15.610416666666652</v>
      </c>
      <c r="T9">
        <v>-19.133333333333312</v>
      </c>
    </row>
    <row r="10" spans="1:22" x14ac:dyDescent="0.35">
      <c r="A10" s="14" t="s">
        <v>4</v>
      </c>
      <c r="B10" s="2" t="s">
        <v>81</v>
      </c>
      <c r="C10" s="2">
        <v>135.83000000000001</v>
      </c>
      <c r="D10" s="16">
        <v>0</v>
      </c>
      <c r="E10" s="19"/>
      <c r="F10" s="25">
        <v>18.608425925925925</v>
      </c>
      <c r="H10">
        <v>2021</v>
      </c>
      <c r="I10">
        <v>-9.7383333333333297</v>
      </c>
      <c r="J10">
        <v>21.321250000000006</v>
      </c>
      <c r="K10">
        <v>14.191666666666663</v>
      </c>
      <c r="L10">
        <v>35.951250000000002</v>
      </c>
      <c r="M10">
        <v>32.915416666666687</v>
      </c>
      <c r="N10">
        <v>-8.8224999999999909</v>
      </c>
      <c r="O10">
        <v>-4.3299999999999841</v>
      </c>
      <c r="P10">
        <v>1.3799999999999955</v>
      </c>
      <c r="Q10">
        <v>-30.766249999999985</v>
      </c>
      <c r="R10">
        <v>-31.354583333333338</v>
      </c>
      <c r="S10">
        <v>-19.64458333333333</v>
      </c>
      <c r="T10">
        <v>-6.8112500000000011</v>
      </c>
    </row>
    <row r="11" spans="1:22" x14ac:dyDescent="0.35">
      <c r="A11" s="14" t="s">
        <v>5</v>
      </c>
      <c r="B11" s="2" t="s">
        <v>82</v>
      </c>
      <c r="C11" s="2">
        <v>107.86</v>
      </c>
      <c r="D11" s="16">
        <v>0</v>
      </c>
      <c r="E11" s="19"/>
      <c r="F11" s="25">
        <v>31.621898148148151</v>
      </c>
      <c r="H11">
        <v>2022</v>
      </c>
      <c r="I11">
        <v>-5.625</v>
      </c>
      <c r="J11">
        <v>2.6820833333333525</v>
      </c>
      <c r="K11">
        <v>37.438333333333333</v>
      </c>
      <c r="L11">
        <v>46.364166666666677</v>
      </c>
      <c r="M11">
        <v>25.764166666666682</v>
      </c>
      <c r="N11">
        <v>11.671666666666667</v>
      </c>
      <c r="O11">
        <v>-13.978333333333339</v>
      </c>
      <c r="P11">
        <v>-28.88666666666667</v>
      </c>
      <c r="Q11">
        <v>-22.101666666666674</v>
      </c>
      <c r="R11">
        <v>-21.831249999999997</v>
      </c>
      <c r="S11">
        <v>-2.9270833333333286</v>
      </c>
      <c r="T11">
        <v>-5.5775000000000006</v>
      </c>
    </row>
    <row r="12" spans="1:22" x14ac:dyDescent="0.35">
      <c r="A12" s="14" t="s">
        <v>6</v>
      </c>
      <c r="B12" s="2" t="s">
        <v>83</v>
      </c>
      <c r="C12" s="2">
        <v>124.99</v>
      </c>
      <c r="D12" s="16">
        <v>0</v>
      </c>
      <c r="E12" s="19"/>
      <c r="F12" s="25">
        <v>26.303148148148157</v>
      </c>
      <c r="H12">
        <v>2023</v>
      </c>
      <c r="I12">
        <v>-18.447083333333339</v>
      </c>
      <c r="J12">
        <v>16.291249999999991</v>
      </c>
      <c r="K12">
        <v>3.3704166666666708</v>
      </c>
      <c r="L12">
        <v>11.725416666666675</v>
      </c>
      <c r="M12">
        <v>19.405000000000001</v>
      </c>
      <c r="N12">
        <v>32.917083333333323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2" x14ac:dyDescent="0.35">
      <c r="A13" s="14" t="s">
        <v>7</v>
      </c>
      <c r="B13" s="2" t="s">
        <v>84</v>
      </c>
      <c r="C13" s="2">
        <v>105.73</v>
      </c>
      <c r="D13" s="16">
        <v>0</v>
      </c>
      <c r="E13" s="19"/>
      <c r="F13" s="25">
        <v>12.197037037037035</v>
      </c>
      <c r="H13" t="s">
        <v>73</v>
      </c>
      <c r="I13" s="23">
        <f>AVERAGE(I10:I12)</f>
        <v>-11.270138888888889</v>
      </c>
      <c r="J13" s="23">
        <f t="shared" ref="J13:N13" si="0">AVERAGE(J10:J12)</f>
        <v>13.431527777777783</v>
      </c>
      <c r="K13" s="23">
        <f t="shared" si="0"/>
        <v>18.333472222222223</v>
      </c>
      <c r="L13" s="23">
        <f t="shared" si="0"/>
        <v>31.34694444444445</v>
      </c>
      <c r="M13" s="23">
        <f t="shared" si="0"/>
        <v>26.028194444444456</v>
      </c>
      <c r="N13" s="23">
        <f t="shared" si="0"/>
        <v>11.922083333333333</v>
      </c>
      <c r="O13" s="23">
        <f>AVERAGE(O9:O11)</f>
        <v>-5.9770833333333258</v>
      </c>
      <c r="P13" s="23">
        <f t="shared" ref="P13:T13" si="1">AVERAGE(P9:P11)</f>
        <v>-10.500138888888893</v>
      </c>
      <c r="Q13" s="23">
        <f t="shared" si="1"/>
        <v>-25.560277777777781</v>
      </c>
      <c r="R13" s="23">
        <f t="shared" si="1"/>
        <v>-27.819305555555559</v>
      </c>
      <c r="S13" s="23">
        <f t="shared" si="1"/>
        <v>-12.727361111111103</v>
      </c>
      <c r="T13" s="23">
        <f t="shared" si="1"/>
        <v>-10.507361111111104</v>
      </c>
      <c r="U13" s="24">
        <f>SUM(Tableau11[[#This Row],[janvier]:[décembre]])</f>
        <v>-3.299444444444422</v>
      </c>
      <c r="V13">
        <f>Tableau11[[#This Row],[Somme]]/12</f>
        <v>-0.27495370370370181</v>
      </c>
    </row>
    <row r="14" spans="1:22" x14ac:dyDescent="0.35">
      <c r="A14" s="14" t="s">
        <v>8</v>
      </c>
      <c r="B14" s="2" t="s">
        <v>85</v>
      </c>
      <c r="C14" s="2">
        <v>97.73</v>
      </c>
      <c r="D14" s="17">
        <f t="shared" ref="D14:D49" si="2">AVERAGE(AVERAGE(C8:C19),AVERAGE(C9:C20))</f>
        <v>97.352916666666658</v>
      </c>
      <c r="E14" s="22">
        <f>Tableau6911[[#This Row],[Xt]]-Tableau6911[[#This Row],[Zt ]]</f>
        <v>0.37708333333334565</v>
      </c>
      <c r="F14" s="26">
        <v>-5.7021296296296242</v>
      </c>
      <c r="H14" t="s">
        <v>74</v>
      </c>
      <c r="I14">
        <f>I13-$V$13</f>
        <v>-10.995185185185187</v>
      </c>
      <c r="J14">
        <f t="shared" ref="J14:T14" si="3">J13-$V$13</f>
        <v>13.706481481481484</v>
      </c>
      <c r="K14">
        <f t="shared" si="3"/>
        <v>18.608425925925925</v>
      </c>
      <c r="L14">
        <f t="shared" si="3"/>
        <v>31.621898148148151</v>
      </c>
      <c r="M14">
        <f t="shared" si="3"/>
        <v>26.303148148148157</v>
      </c>
      <c r="N14">
        <f t="shared" si="3"/>
        <v>12.197037037037035</v>
      </c>
      <c r="O14">
        <f t="shared" si="3"/>
        <v>-5.7021296296296242</v>
      </c>
      <c r="P14">
        <f t="shared" si="3"/>
        <v>-10.225185185185191</v>
      </c>
      <c r="Q14">
        <f t="shared" si="3"/>
        <v>-25.285324074074079</v>
      </c>
      <c r="R14">
        <f t="shared" si="3"/>
        <v>-27.544351851851857</v>
      </c>
      <c r="S14">
        <f t="shared" si="3"/>
        <v>-12.452407407407401</v>
      </c>
      <c r="T14">
        <f t="shared" si="3"/>
        <v>-10.232407407407402</v>
      </c>
      <c r="U14" s="24">
        <f>SUM(Tableau11[[#This Row],[janvier]:[décembre]])</f>
        <v>0</v>
      </c>
      <c r="V14">
        <f>Tableau11[[#This Row],[Somme]]/12</f>
        <v>0</v>
      </c>
    </row>
    <row r="15" spans="1:22" x14ac:dyDescent="0.35">
      <c r="A15" s="14" t="s">
        <v>9</v>
      </c>
      <c r="B15" s="2" t="s">
        <v>86</v>
      </c>
      <c r="C15" s="2">
        <v>93.16</v>
      </c>
      <c r="D15" s="17">
        <f t="shared" si="2"/>
        <v>97.153750000000002</v>
      </c>
      <c r="E15" s="22">
        <f>Tableau6911[[#This Row],[Xt]]-Tableau6911[[#This Row],[Zt ]]</f>
        <v>-3.9937500000000057</v>
      </c>
      <c r="F15" s="26">
        <v>-10.225185185185191</v>
      </c>
    </row>
    <row r="16" spans="1:22" x14ac:dyDescent="0.35">
      <c r="A16" s="14" t="s">
        <v>10</v>
      </c>
      <c r="B16" s="2" t="s">
        <v>87</v>
      </c>
      <c r="C16" s="2">
        <v>72.14</v>
      </c>
      <c r="D16" s="17">
        <f t="shared" si="2"/>
        <v>95.952916666666681</v>
      </c>
      <c r="E16" s="22">
        <f>Tableau6911[[#This Row],[Xt]]-Tableau6911[[#This Row],[Zt ]]</f>
        <v>-23.81291666666668</v>
      </c>
      <c r="F16" s="26">
        <v>-25.285324074074079</v>
      </c>
    </row>
    <row r="17" spans="1:9" x14ac:dyDescent="0.35">
      <c r="A17" s="14" t="s">
        <v>11</v>
      </c>
      <c r="B17" s="2" t="s">
        <v>88</v>
      </c>
      <c r="C17" s="2">
        <v>65.59</v>
      </c>
      <c r="D17" s="17">
        <f t="shared" si="2"/>
        <v>95.862083333333345</v>
      </c>
      <c r="E17" s="22">
        <f>Tableau6911[[#This Row],[Xt]]-Tableau6911[[#This Row],[Zt ]]</f>
        <v>-30.272083333333342</v>
      </c>
      <c r="F17" s="26">
        <v>-27.544351851851857</v>
      </c>
      <c r="H17" s="27" t="s">
        <v>76</v>
      </c>
      <c r="I17" s="27" t="s">
        <v>77</v>
      </c>
    </row>
    <row r="18" spans="1:9" x14ac:dyDescent="0.35">
      <c r="A18" s="14" t="s">
        <v>12</v>
      </c>
      <c r="B18" s="2" t="s">
        <v>89</v>
      </c>
      <c r="C18" s="2">
        <v>81.400000000000006</v>
      </c>
      <c r="D18" s="17">
        <f t="shared" si="2"/>
        <v>97.010416666666657</v>
      </c>
      <c r="E18" s="22">
        <f>Tableau6911[[#This Row],[Xt]]-Tableau6911[[#This Row],[Zt ]]</f>
        <v>-15.610416666666652</v>
      </c>
      <c r="F18" s="26">
        <v>-12.452407407407401</v>
      </c>
      <c r="H18" s="28" t="s">
        <v>54</v>
      </c>
      <c r="I18" s="13">
        <v>-10.995185185185187</v>
      </c>
    </row>
    <row r="19" spans="1:9" x14ac:dyDescent="0.35">
      <c r="A19" s="14" t="s">
        <v>13</v>
      </c>
      <c r="B19" s="2" t="s">
        <v>90</v>
      </c>
      <c r="C19" s="2">
        <v>77.290000000000006</v>
      </c>
      <c r="D19" s="17">
        <f t="shared" si="2"/>
        <v>96.423333333333318</v>
      </c>
      <c r="E19" s="22">
        <f>Tableau6911[[#This Row],[Xt]]-Tableau6911[[#This Row],[Zt ]]</f>
        <v>-19.133333333333312</v>
      </c>
      <c r="F19" s="26">
        <v>-10.232407407407402</v>
      </c>
      <c r="H19" s="28" t="s">
        <v>55</v>
      </c>
      <c r="I19" s="13">
        <v>13.706481481481484</v>
      </c>
    </row>
    <row r="20" spans="1:9" x14ac:dyDescent="0.35">
      <c r="A20" s="14" t="s">
        <v>14</v>
      </c>
      <c r="B20" s="2" t="s">
        <v>79</v>
      </c>
      <c r="C20" s="2">
        <v>85.77</v>
      </c>
      <c r="D20" s="17">
        <f t="shared" si="2"/>
        <v>95.508333333333326</v>
      </c>
      <c r="E20" s="22">
        <f>Tableau6911[[#This Row],[Xt]]-Tableau6911[[#This Row],[Zt ]]</f>
        <v>-9.7383333333333297</v>
      </c>
      <c r="F20" s="26">
        <v>-10.995185185185187</v>
      </c>
      <c r="H20" s="28" t="s">
        <v>56</v>
      </c>
      <c r="I20" s="13">
        <v>18.608425925925925</v>
      </c>
    </row>
    <row r="21" spans="1:9" x14ac:dyDescent="0.35">
      <c r="A21" s="14" t="s">
        <v>15</v>
      </c>
      <c r="B21" s="2" t="s">
        <v>80</v>
      </c>
      <c r="C21" s="2">
        <v>116.92</v>
      </c>
      <c r="D21" s="17">
        <f t="shared" si="2"/>
        <v>95.598749999999995</v>
      </c>
      <c r="E21" s="22">
        <f>Tableau6911[[#This Row],[Xt]]-Tableau6911[[#This Row],[Zt ]]</f>
        <v>21.321250000000006</v>
      </c>
      <c r="F21" s="26">
        <v>13.706481481481484</v>
      </c>
      <c r="H21" s="28" t="s">
        <v>57</v>
      </c>
      <c r="I21" s="13">
        <v>31.621898148148151</v>
      </c>
    </row>
    <row r="22" spans="1:9" x14ac:dyDescent="0.35">
      <c r="A22" s="14" t="s">
        <v>16</v>
      </c>
      <c r="B22" s="2" t="s">
        <v>81</v>
      </c>
      <c r="C22" s="2">
        <v>109.88</v>
      </c>
      <c r="D22" s="17">
        <f t="shared" si="2"/>
        <v>95.688333333333333</v>
      </c>
      <c r="E22" s="22">
        <f>Tableau6911[[#This Row],[Xt]]-Tableau6911[[#This Row],[Zt ]]</f>
        <v>14.191666666666663</v>
      </c>
      <c r="F22" s="26">
        <v>18.608425925925925</v>
      </c>
      <c r="H22" s="28" t="s">
        <v>58</v>
      </c>
      <c r="I22" s="13">
        <v>26.303148148148157</v>
      </c>
    </row>
    <row r="23" spans="1:9" x14ac:dyDescent="0.35">
      <c r="A23" s="14" t="s">
        <v>17</v>
      </c>
      <c r="B23" s="2" t="s">
        <v>82</v>
      </c>
      <c r="C23" s="2">
        <v>131.63</v>
      </c>
      <c r="D23" s="17">
        <f t="shared" si="2"/>
        <v>95.678749999999994</v>
      </c>
      <c r="E23" s="22">
        <f>Tableau6911[[#This Row],[Xt]]-Tableau6911[[#This Row],[Zt ]]</f>
        <v>35.951250000000002</v>
      </c>
      <c r="F23" s="26">
        <v>31.621898148148151</v>
      </c>
      <c r="H23" s="28" t="s">
        <v>59</v>
      </c>
      <c r="I23" s="13">
        <v>12.197037037037035</v>
      </c>
    </row>
    <row r="24" spans="1:9" x14ac:dyDescent="0.35">
      <c r="A24" s="14" t="s">
        <v>18</v>
      </c>
      <c r="B24" s="2" t="s">
        <v>83</v>
      </c>
      <c r="C24" s="2">
        <v>128.78</v>
      </c>
      <c r="D24" s="17">
        <f t="shared" si="2"/>
        <v>95.864583333333314</v>
      </c>
      <c r="E24" s="22">
        <f>Tableau6911[[#This Row],[Xt]]-Tableau6911[[#This Row],[Zt ]]</f>
        <v>32.915416666666687</v>
      </c>
      <c r="F24" s="26">
        <v>26.303148148148157</v>
      </c>
      <c r="H24" s="28" t="s">
        <v>60</v>
      </c>
      <c r="I24" s="13">
        <v>-5.7021296296296242</v>
      </c>
    </row>
    <row r="25" spans="1:9" x14ac:dyDescent="0.35">
      <c r="A25" s="14" t="s">
        <v>19</v>
      </c>
      <c r="B25" s="2" t="s">
        <v>84</v>
      </c>
      <c r="C25" s="2">
        <v>87.85</v>
      </c>
      <c r="D25" s="17">
        <f t="shared" si="2"/>
        <v>96.672499999999985</v>
      </c>
      <c r="E25" s="22">
        <f>Tableau6911[[#This Row],[Xt]]-Tableau6911[[#This Row],[Zt ]]</f>
        <v>-8.8224999999999909</v>
      </c>
      <c r="F25" s="26">
        <v>12.197037037037035</v>
      </c>
      <c r="H25" s="28" t="s">
        <v>61</v>
      </c>
      <c r="I25" s="13">
        <v>-10.225185185185191</v>
      </c>
    </row>
    <row r="26" spans="1:9" x14ac:dyDescent="0.35">
      <c r="A26" s="14" t="s">
        <v>20</v>
      </c>
      <c r="B26" s="2" t="s">
        <v>85</v>
      </c>
      <c r="C26" s="2">
        <v>93.65</v>
      </c>
      <c r="D26" s="17">
        <f t="shared" si="2"/>
        <v>97.97999999999999</v>
      </c>
      <c r="E26" s="22">
        <f>Tableau6911[[#This Row],[Xt]]-Tableau6911[[#This Row],[Zt ]]</f>
        <v>-4.3299999999999841</v>
      </c>
      <c r="F26" s="26">
        <v>-5.7021296296296242</v>
      </c>
      <c r="H26" s="28" t="s">
        <v>62</v>
      </c>
      <c r="I26" s="13">
        <v>-25.285324074074079</v>
      </c>
    </row>
    <row r="27" spans="1:9" x14ac:dyDescent="0.35">
      <c r="A27" s="14" t="s">
        <v>21</v>
      </c>
      <c r="B27" s="2" t="s">
        <v>86</v>
      </c>
      <c r="C27" s="2">
        <v>99.41</v>
      </c>
      <c r="D27" s="17">
        <f t="shared" si="2"/>
        <v>98.03</v>
      </c>
      <c r="E27" s="22">
        <f>Tableau6911[[#This Row],[Xt]]-Tableau6911[[#This Row],[Zt ]]</f>
        <v>1.3799999999999955</v>
      </c>
      <c r="F27" s="26">
        <v>-10.225185185185191</v>
      </c>
      <c r="H27" s="28" t="s">
        <v>63</v>
      </c>
      <c r="I27" s="13">
        <v>-27.544351851851857</v>
      </c>
    </row>
    <row r="28" spans="1:9" x14ac:dyDescent="0.35">
      <c r="A28" s="14" t="s">
        <v>22</v>
      </c>
      <c r="B28" s="2" t="s">
        <v>87</v>
      </c>
      <c r="C28" s="2">
        <v>68.040000000000006</v>
      </c>
      <c r="D28" s="17">
        <f t="shared" si="2"/>
        <v>98.806249999999991</v>
      </c>
      <c r="E28" s="22">
        <f>Tableau6911[[#This Row],[Xt]]-Tableau6911[[#This Row],[Zt ]]</f>
        <v>-30.766249999999985</v>
      </c>
      <c r="F28" s="26">
        <v>-25.285324074074079</v>
      </c>
      <c r="H28" s="28" t="s">
        <v>64</v>
      </c>
      <c r="I28" s="13">
        <v>-12.452407407407401</v>
      </c>
    </row>
    <row r="29" spans="1:9" x14ac:dyDescent="0.35">
      <c r="A29" s="14" t="s">
        <v>23</v>
      </c>
      <c r="B29" s="2" t="s">
        <v>88</v>
      </c>
      <c r="C29" s="2">
        <v>69.459999999999994</v>
      </c>
      <c r="D29" s="17">
        <f t="shared" si="2"/>
        <v>100.81458333333333</v>
      </c>
      <c r="E29" s="22">
        <f>Tableau6911[[#This Row],[Xt]]-Tableau6911[[#This Row],[Zt ]]</f>
        <v>-31.354583333333338</v>
      </c>
      <c r="F29" s="26">
        <v>-27.544351851851857</v>
      </c>
      <c r="H29" s="28" t="s">
        <v>65</v>
      </c>
      <c r="I29" s="13">
        <v>-10.232407407407402</v>
      </c>
    </row>
    <row r="30" spans="1:9" x14ac:dyDescent="0.35">
      <c r="A30" s="14" t="s">
        <v>24</v>
      </c>
      <c r="B30" s="2" t="s">
        <v>89</v>
      </c>
      <c r="C30" s="2">
        <v>81.99</v>
      </c>
      <c r="D30" s="17">
        <f t="shared" si="2"/>
        <v>101.63458333333332</v>
      </c>
      <c r="E30" s="22">
        <f>Tableau6911[[#This Row],[Xt]]-Tableau6911[[#This Row],[Zt ]]</f>
        <v>-19.64458333333333</v>
      </c>
      <c r="F30" s="26">
        <v>-12.452407407407401</v>
      </c>
      <c r="H30" s="29" t="s">
        <v>72</v>
      </c>
      <c r="I30" s="30">
        <f>SUM(I18:I29)</f>
        <v>0</v>
      </c>
    </row>
    <row r="31" spans="1:9" x14ac:dyDescent="0.35">
      <c r="A31" s="14" t="s">
        <v>25</v>
      </c>
      <c r="B31" s="2" t="s">
        <v>90</v>
      </c>
      <c r="C31" s="2">
        <v>96.09</v>
      </c>
      <c r="D31" s="17">
        <f t="shared" si="2"/>
        <v>102.90125</v>
      </c>
      <c r="E31" s="22">
        <f>Tableau6911[[#This Row],[Xt]]-Tableau6911[[#This Row],[Zt ]]</f>
        <v>-6.8112500000000011</v>
      </c>
      <c r="F31" s="26">
        <v>-10.232407407407402</v>
      </c>
      <c r="H31" s="31" t="s">
        <v>78</v>
      </c>
      <c r="I31">
        <f>AVERAGE(I18:I29)</f>
        <v>0</v>
      </c>
    </row>
    <row r="32" spans="1:9" x14ac:dyDescent="0.35">
      <c r="A32" s="14" t="s">
        <v>26</v>
      </c>
      <c r="B32" s="2" t="s">
        <v>79</v>
      </c>
      <c r="C32" s="2">
        <v>98.35</v>
      </c>
      <c r="D32" s="17">
        <f t="shared" si="2"/>
        <v>103.97499999999999</v>
      </c>
      <c r="E32" s="22">
        <f>Tableau6911[[#This Row],[Xt]]-Tableau6911[[#This Row],[Zt ]]</f>
        <v>-5.625</v>
      </c>
      <c r="F32" s="26">
        <v>-10.995185185185187</v>
      </c>
    </row>
    <row r="33" spans="1:6" x14ac:dyDescent="0.35">
      <c r="A33" s="14" t="s">
        <v>27</v>
      </c>
      <c r="B33" s="2" t="s">
        <v>80</v>
      </c>
      <c r="C33" s="2">
        <v>105.54</v>
      </c>
      <c r="D33" s="17">
        <f t="shared" si="2"/>
        <v>102.85791666666665</v>
      </c>
      <c r="E33" s="22">
        <f>Tableau6911[[#This Row],[Xt]]-Tableau6911[[#This Row],[Zt ]]</f>
        <v>2.6820833333333525</v>
      </c>
      <c r="F33" s="26">
        <v>13.706481481481484</v>
      </c>
    </row>
    <row r="34" spans="1:6" x14ac:dyDescent="0.35">
      <c r="A34" s="14" t="s">
        <v>28</v>
      </c>
      <c r="B34" s="2" t="s">
        <v>81</v>
      </c>
      <c r="C34" s="2">
        <v>139.88999999999999</v>
      </c>
      <c r="D34" s="17">
        <f t="shared" si="2"/>
        <v>102.45166666666665</v>
      </c>
      <c r="E34" s="22">
        <f>Tableau6911[[#This Row],[Xt]]-Tableau6911[[#This Row],[Zt ]]</f>
        <v>37.438333333333333</v>
      </c>
      <c r="F34" s="26">
        <v>18.608425925925925</v>
      </c>
    </row>
    <row r="35" spans="1:6" x14ac:dyDescent="0.35">
      <c r="A35" s="14" t="s">
        <v>29</v>
      </c>
      <c r="B35" s="2" t="s">
        <v>82</v>
      </c>
      <c r="C35" s="2">
        <v>149.82</v>
      </c>
      <c r="D35" s="17">
        <f t="shared" si="2"/>
        <v>103.45583333333332</v>
      </c>
      <c r="E35" s="22">
        <f>Tableau6911[[#This Row],[Xt]]-Tableau6911[[#This Row],[Zt ]]</f>
        <v>46.364166666666677</v>
      </c>
      <c r="F35" s="26">
        <v>31.621898148148151</v>
      </c>
    </row>
    <row r="36" spans="1:6" x14ac:dyDescent="0.35">
      <c r="A36" s="14" t="s">
        <v>30</v>
      </c>
      <c r="B36" s="2" t="s">
        <v>83</v>
      </c>
      <c r="C36" s="2">
        <v>130.27000000000001</v>
      </c>
      <c r="D36" s="17">
        <f t="shared" si="2"/>
        <v>104.50583333333333</v>
      </c>
      <c r="E36" s="22">
        <f>Tableau6911[[#This Row],[Xt]]-Tableau6911[[#This Row],[Zt ]]</f>
        <v>25.764166666666682</v>
      </c>
      <c r="F36" s="26">
        <v>26.303148148148157</v>
      </c>
    </row>
    <row r="37" spans="1:6" x14ac:dyDescent="0.35">
      <c r="A37" s="14" t="s">
        <v>31</v>
      </c>
      <c r="B37" s="2" t="s">
        <v>84</v>
      </c>
      <c r="C37" s="2">
        <v>116.76</v>
      </c>
      <c r="D37" s="17">
        <f t="shared" si="2"/>
        <v>105.08833333333334</v>
      </c>
      <c r="E37" s="22">
        <f>Tableau6911[[#This Row],[Xt]]-Tableau6911[[#This Row],[Zt ]]</f>
        <v>11.671666666666667</v>
      </c>
      <c r="F37" s="26">
        <v>12.197037037037035</v>
      </c>
    </row>
    <row r="38" spans="1:6" x14ac:dyDescent="0.35">
      <c r="A38" s="14" t="s">
        <v>32</v>
      </c>
      <c r="B38" s="2" t="s">
        <v>85</v>
      </c>
      <c r="C38" s="2">
        <v>90.51</v>
      </c>
      <c r="D38" s="17">
        <f t="shared" si="2"/>
        <v>104.48833333333334</v>
      </c>
      <c r="E38" s="22">
        <f>Tableau6911[[#This Row],[Xt]]-Tableau6911[[#This Row],[Zt ]]</f>
        <v>-13.978333333333339</v>
      </c>
      <c r="F38" s="26">
        <v>-5.7021296296296242</v>
      </c>
    </row>
    <row r="39" spans="1:6" x14ac:dyDescent="0.35">
      <c r="A39" s="14" t="s">
        <v>33</v>
      </c>
      <c r="B39" s="2" t="s">
        <v>86</v>
      </c>
      <c r="C39" s="2">
        <v>75.739999999999995</v>
      </c>
      <c r="D39" s="17">
        <f t="shared" si="2"/>
        <v>104.62666666666667</v>
      </c>
      <c r="E39" s="22">
        <f>Tableau6911[[#This Row],[Xt]]-Tableau6911[[#This Row],[Zt ]]</f>
        <v>-28.88666666666667</v>
      </c>
      <c r="F39" s="26">
        <v>-10.225185185185191</v>
      </c>
    </row>
    <row r="40" spans="1:6" x14ac:dyDescent="0.35">
      <c r="A40" s="14" t="s">
        <v>34</v>
      </c>
      <c r="B40" s="2" t="s">
        <v>87</v>
      </c>
      <c r="C40" s="2">
        <v>81.96</v>
      </c>
      <c r="D40" s="17">
        <f t="shared" si="2"/>
        <v>104.06166666666667</v>
      </c>
      <c r="E40" s="22">
        <f>Tableau6911[[#This Row],[Xt]]-Tableau6911[[#This Row],[Zt ]]</f>
        <v>-22.101666666666674</v>
      </c>
      <c r="F40" s="26">
        <v>-25.285324074074079</v>
      </c>
    </row>
    <row r="41" spans="1:6" x14ac:dyDescent="0.35">
      <c r="A41" s="14" t="s">
        <v>35</v>
      </c>
      <c r="B41" s="2" t="s">
        <v>88</v>
      </c>
      <c r="C41" s="2">
        <v>79.64</v>
      </c>
      <c r="D41" s="17">
        <f t="shared" si="2"/>
        <v>101.47125</v>
      </c>
      <c r="E41" s="22">
        <f>Tableau6911[[#This Row],[Xt]]-Tableau6911[[#This Row],[Zt ]]</f>
        <v>-21.831249999999997</v>
      </c>
      <c r="F41" s="26">
        <v>-27.544351851851857</v>
      </c>
    </row>
    <row r="42" spans="1:6" x14ac:dyDescent="0.35">
      <c r="A42" s="14" t="s">
        <v>36</v>
      </c>
      <c r="B42" s="2" t="s">
        <v>89</v>
      </c>
      <c r="C42" s="2">
        <v>97.01</v>
      </c>
      <c r="D42" s="17">
        <f t="shared" si="2"/>
        <v>99.937083333333334</v>
      </c>
      <c r="E42" s="22">
        <f>Tableau6911[[#This Row],[Xt]]-Tableau6911[[#This Row],[Zt ]]</f>
        <v>-2.9270833333333286</v>
      </c>
      <c r="F42" s="26">
        <v>-12.452407407407401</v>
      </c>
    </row>
    <row r="43" spans="1:6" x14ac:dyDescent="0.35">
      <c r="A43" s="14" t="s">
        <v>37</v>
      </c>
      <c r="B43" s="2" t="s">
        <v>90</v>
      </c>
      <c r="C43" s="2">
        <v>95.05</v>
      </c>
      <c r="D43" s="17">
        <f t="shared" si="2"/>
        <v>100.6275</v>
      </c>
      <c r="E43" s="22">
        <f>Tableau6911[[#This Row],[Xt]]-Tableau6911[[#This Row],[Zt ]]</f>
        <v>-5.5775000000000006</v>
      </c>
      <c r="F43" s="26">
        <v>-10.232407407407402</v>
      </c>
    </row>
    <row r="44" spans="1:6" x14ac:dyDescent="0.35">
      <c r="A44" s="14" t="s">
        <v>38</v>
      </c>
      <c r="B44" s="2" t="s">
        <v>79</v>
      </c>
      <c r="C44" s="2">
        <v>84.99</v>
      </c>
      <c r="D44" s="17">
        <f t="shared" si="2"/>
        <v>103.43708333333333</v>
      </c>
      <c r="E44" s="22">
        <f>Tableau6911[[#This Row],[Xt]]-Tableau6911[[#This Row],[Zt ]]</f>
        <v>-18.447083333333339</v>
      </c>
      <c r="F44" s="26">
        <v>-10.995185185185187</v>
      </c>
    </row>
    <row r="45" spans="1:6" x14ac:dyDescent="0.35">
      <c r="A45" s="14" t="s">
        <v>39</v>
      </c>
      <c r="B45" s="2" t="s">
        <v>80</v>
      </c>
      <c r="C45" s="2">
        <v>122.22</v>
      </c>
      <c r="D45" s="17">
        <f t="shared" si="2"/>
        <v>105.92875000000001</v>
      </c>
      <c r="E45" s="22">
        <f>Tableau6911[[#This Row],[Xt]]-Tableau6911[[#This Row],[Zt ]]</f>
        <v>16.291249999999991</v>
      </c>
      <c r="F45" s="26">
        <v>13.706481481481484</v>
      </c>
    </row>
    <row r="46" spans="1:6" x14ac:dyDescent="0.35">
      <c r="A46" s="14" t="s">
        <v>40</v>
      </c>
      <c r="B46" s="2" t="s">
        <v>81</v>
      </c>
      <c r="C46" s="2">
        <v>109.65</v>
      </c>
      <c r="D46" s="17">
        <f t="shared" si="2"/>
        <v>106.27958333333333</v>
      </c>
      <c r="E46" s="22">
        <f>Tableau6911[[#This Row],[Xt]]-Tableau6911[[#This Row],[Zt ]]</f>
        <v>3.3704166666666708</v>
      </c>
      <c r="F46" s="26">
        <v>18.608425925925925</v>
      </c>
    </row>
    <row r="47" spans="1:6" x14ac:dyDescent="0.35">
      <c r="A47" s="14" t="s">
        <v>41</v>
      </c>
      <c r="B47" s="2" t="s">
        <v>82</v>
      </c>
      <c r="C47" s="2">
        <v>117.89</v>
      </c>
      <c r="D47" s="17">
        <f t="shared" si="2"/>
        <v>106.16458333333333</v>
      </c>
      <c r="E47" s="22">
        <f>Tableau6911[[#This Row],[Xt]]-Tableau6911[[#This Row],[Zt ]]</f>
        <v>11.725416666666675</v>
      </c>
      <c r="F47" s="26">
        <v>31.621898148148151</v>
      </c>
    </row>
    <row r="48" spans="1:6" x14ac:dyDescent="0.35">
      <c r="A48" s="14" t="s">
        <v>42</v>
      </c>
      <c r="B48" s="2" t="s">
        <v>83</v>
      </c>
      <c r="C48" s="2">
        <v>125.38</v>
      </c>
      <c r="D48" s="17">
        <f t="shared" si="2"/>
        <v>105.97499999999999</v>
      </c>
      <c r="E48" s="22">
        <f>Tableau6911[[#This Row],[Xt]]-Tableau6911[[#This Row],[Zt ]]</f>
        <v>19.405000000000001</v>
      </c>
      <c r="F48" s="26">
        <v>26.303148148148157</v>
      </c>
    </row>
    <row r="49" spans="1:6" x14ac:dyDescent="0.35">
      <c r="A49" s="14" t="s">
        <v>43</v>
      </c>
      <c r="B49" s="2" t="s">
        <v>84</v>
      </c>
      <c r="C49" s="2">
        <v>138.22</v>
      </c>
      <c r="D49" s="17">
        <f t="shared" si="2"/>
        <v>105.30291666666668</v>
      </c>
      <c r="E49" s="22">
        <f>Tableau6911[[#This Row],[Xt]]-Tableau6911[[#This Row],[Zt ]]</f>
        <v>32.917083333333323</v>
      </c>
      <c r="F49" s="26">
        <v>12.197037037037035</v>
      </c>
    </row>
    <row r="50" spans="1:6" x14ac:dyDescent="0.35">
      <c r="A50" s="14" t="s">
        <v>44</v>
      </c>
      <c r="B50" s="2" t="s">
        <v>85</v>
      </c>
      <c r="C50" s="2">
        <v>136.47999999999999</v>
      </c>
      <c r="D50" s="18">
        <v>0</v>
      </c>
      <c r="E50" s="20"/>
      <c r="F50" s="26">
        <v>-5.7021296296296242</v>
      </c>
    </row>
    <row r="51" spans="1:6" x14ac:dyDescent="0.35">
      <c r="A51" s="14" t="s">
        <v>45</v>
      </c>
      <c r="B51" s="2" t="s">
        <v>86</v>
      </c>
      <c r="C51" s="2">
        <v>89.57</v>
      </c>
      <c r="D51" s="18">
        <v>0</v>
      </c>
      <c r="E51" s="20"/>
      <c r="F51" s="26">
        <v>-10.225185185185191</v>
      </c>
    </row>
    <row r="52" spans="1:6" x14ac:dyDescent="0.35">
      <c r="A52" s="14" t="s">
        <v>46</v>
      </c>
      <c r="B52" s="2" t="s">
        <v>87</v>
      </c>
      <c r="C52" s="2">
        <v>76.55</v>
      </c>
      <c r="D52" s="18">
        <v>0</v>
      </c>
      <c r="E52" s="20"/>
      <c r="F52" s="26">
        <v>-25.285324074074079</v>
      </c>
    </row>
    <row r="53" spans="1:6" x14ac:dyDescent="0.35">
      <c r="A53" s="14" t="s">
        <v>47</v>
      </c>
      <c r="B53" s="2" t="s">
        <v>88</v>
      </c>
      <c r="C53" s="2">
        <v>82.29</v>
      </c>
      <c r="D53" s="18">
        <v>0</v>
      </c>
      <c r="E53" s="20"/>
      <c r="F53" s="26">
        <v>-27.544351851851857</v>
      </c>
    </row>
    <row r="54" spans="1:6" x14ac:dyDescent="0.35">
      <c r="A54" s="14" t="s">
        <v>48</v>
      </c>
      <c r="B54" s="2" t="s">
        <v>89</v>
      </c>
      <c r="C54" s="2">
        <v>89.81</v>
      </c>
      <c r="D54" s="18">
        <v>0</v>
      </c>
      <c r="E54" s="20"/>
      <c r="F54" s="26">
        <v>-12.452407407407401</v>
      </c>
    </row>
    <row r="55" spans="1:6" x14ac:dyDescent="0.35">
      <c r="A55" s="15" t="s">
        <v>49</v>
      </c>
      <c r="B55" s="2" t="s">
        <v>90</v>
      </c>
      <c r="C55" s="9">
        <v>86.12</v>
      </c>
      <c r="D55" s="18">
        <v>0</v>
      </c>
      <c r="E55" s="20"/>
      <c r="F55" s="26">
        <v>-10.232407407407402</v>
      </c>
    </row>
  </sheetData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0760-9450-426A-B19D-FF26E8604186}">
  <dimension ref="A1:Q50"/>
  <sheetViews>
    <sheetView workbookViewId="0">
      <selection sqref="A1:C49"/>
    </sheetView>
  </sheetViews>
  <sheetFormatPr baseColWidth="10" defaultRowHeight="14.5" x14ac:dyDescent="0.35"/>
  <cols>
    <col min="12" max="12" width="11.90625" customWidth="1"/>
    <col min="13" max="13" width="11.7265625" customWidth="1"/>
    <col min="15" max="15" width="11.1796875" customWidth="1"/>
  </cols>
  <sheetData>
    <row r="1" spans="1:7" x14ac:dyDescent="0.35">
      <c r="A1" s="7" t="s">
        <v>0</v>
      </c>
      <c r="B1" s="12" t="s">
        <v>76</v>
      </c>
      <c r="C1" s="12" t="s">
        <v>50</v>
      </c>
      <c r="D1" s="11" t="s">
        <v>68</v>
      </c>
      <c r="E1" s="12" t="s">
        <v>70</v>
      </c>
      <c r="F1" s="12" t="s">
        <v>69</v>
      </c>
      <c r="G1" s="12" t="s">
        <v>91</v>
      </c>
    </row>
    <row r="2" spans="1:7" x14ac:dyDescent="0.35">
      <c r="A2" s="14" t="s">
        <v>2</v>
      </c>
      <c r="B2" s="2" t="s">
        <v>79</v>
      </c>
      <c r="C2" s="2">
        <v>87.68</v>
      </c>
      <c r="D2" s="16">
        <v>0</v>
      </c>
      <c r="E2" s="19"/>
      <c r="F2" s="35">
        <v>-10.995185185185187</v>
      </c>
      <c r="G2" s="36">
        <v>0</v>
      </c>
    </row>
    <row r="3" spans="1:7" x14ac:dyDescent="0.35">
      <c r="A3" s="14" t="s">
        <v>3</v>
      </c>
      <c r="B3" s="2" t="s">
        <v>80</v>
      </c>
      <c r="C3" s="2">
        <v>119.79</v>
      </c>
      <c r="D3" s="16">
        <v>0</v>
      </c>
      <c r="E3" s="19"/>
      <c r="F3" s="35">
        <v>13.706481481481484</v>
      </c>
      <c r="G3" s="36">
        <v>0</v>
      </c>
    </row>
    <row r="4" spans="1:7" x14ac:dyDescent="0.35">
      <c r="A4" s="14" t="s">
        <v>4</v>
      </c>
      <c r="B4" s="2" t="s">
        <v>81</v>
      </c>
      <c r="C4" s="2">
        <v>135.83000000000001</v>
      </c>
      <c r="D4" s="16">
        <v>0</v>
      </c>
      <c r="E4" s="19"/>
      <c r="F4" s="35">
        <v>18.608425925925925</v>
      </c>
      <c r="G4" s="36">
        <v>0</v>
      </c>
    </row>
    <row r="5" spans="1:7" x14ac:dyDescent="0.35">
      <c r="A5" s="14" t="s">
        <v>5</v>
      </c>
      <c r="B5" s="2" t="s">
        <v>82</v>
      </c>
      <c r="C5" s="2">
        <v>107.86</v>
      </c>
      <c r="D5" s="16">
        <v>0</v>
      </c>
      <c r="E5" s="19"/>
      <c r="F5" s="35">
        <v>31.621898148148151</v>
      </c>
      <c r="G5" s="36">
        <v>0</v>
      </c>
    </row>
    <row r="6" spans="1:7" x14ac:dyDescent="0.35">
      <c r="A6" s="14" t="s">
        <v>6</v>
      </c>
      <c r="B6" s="2" t="s">
        <v>83</v>
      </c>
      <c r="C6" s="2">
        <v>124.99</v>
      </c>
      <c r="D6" s="16">
        <v>0</v>
      </c>
      <c r="E6" s="19"/>
      <c r="F6" s="35">
        <v>26.303148148148157</v>
      </c>
      <c r="G6" s="40">
        <v>0</v>
      </c>
    </row>
    <row r="7" spans="1:7" x14ac:dyDescent="0.35">
      <c r="A7" s="14" t="s">
        <v>7</v>
      </c>
      <c r="B7" s="2" t="s">
        <v>84</v>
      </c>
      <c r="C7" s="2">
        <v>105.73</v>
      </c>
      <c r="D7" s="16">
        <v>0</v>
      </c>
      <c r="E7" s="19"/>
      <c r="F7" s="35">
        <v>12.197037037037035</v>
      </c>
      <c r="G7" s="36">
        <v>0</v>
      </c>
    </row>
    <row r="8" spans="1:7" x14ac:dyDescent="0.35">
      <c r="A8" s="14" t="s">
        <v>8</v>
      </c>
      <c r="B8" s="2" t="s">
        <v>85</v>
      </c>
      <c r="C8" s="2">
        <v>97.73</v>
      </c>
      <c r="D8" s="17">
        <f t="shared" ref="D8:D43" si="0">AVERAGE(AVERAGE(C2:C13),AVERAGE(C3:C14))</f>
        <v>97.352916666666658</v>
      </c>
      <c r="E8" s="22">
        <f>Tableau691115[[#This Row],[Xt]]-Tableau691115[[#This Row],[Zt ]]</f>
        <v>0.37708333333334565</v>
      </c>
      <c r="F8" s="21">
        <v>-5.7021296296296242</v>
      </c>
      <c r="G8" s="22">
        <f>Tableau691115[[#This Row],[Xt-Zt]]-Tableau691115[[#This Row],[St]]</f>
        <v>6.0792129629629699</v>
      </c>
    </row>
    <row r="9" spans="1:7" x14ac:dyDescent="0.35">
      <c r="A9" s="14" t="s">
        <v>9</v>
      </c>
      <c r="B9" s="2" t="s">
        <v>86</v>
      </c>
      <c r="C9" s="2">
        <v>93.16</v>
      </c>
      <c r="D9" s="17">
        <f t="shared" si="0"/>
        <v>97.153750000000002</v>
      </c>
      <c r="E9" s="22">
        <f>Tableau691115[[#This Row],[Xt]]-Tableau691115[[#This Row],[Zt ]]</f>
        <v>-3.9937500000000057</v>
      </c>
      <c r="F9" s="21">
        <v>-10.225185185185191</v>
      </c>
      <c r="G9" s="22">
        <f>Tableau691115[[#This Row],[Xt-Zt]]-Tableau691115[[#This Row],[St]]</f>
        <v>6.2314351851851857</v>
      </c>
    </row>
    <row r="10" spans="1:7" x14ac:dyDescent="0.35">
      <c r="A10" s="14" t="s">
        <v>10</v>
      </c>
      <c r="B10" s="2" t="s">
        <v>87</v>
      </c>
      <c r="C10" s="2">
        <v>72.14</v>
      </c>
      <c r="D10" s="17">
        <f t="shared" si="0"/>
        <v>95.952916666666681</v>
      </c>
      <c r="E10" s="22">
        <f>Tableau691115[[#This Row],[Xt]]-Tableau691115[[#This Row],[Zt ]]</f>
        <v>-23.81291666666668</v>
      </c>
      <c r="F10" s="21">
        <v>-25.285324074074079</v>
      </c>
      <c r="G10" s="22">
        <f>Tableau691115[[#This Row],[Xt-Zt]]-Tableau691115[[#This Row],[St]]</f>
        <v>1.4724074074073989</v>
      </c>
    </row>
    <row r="11" spans="1:7" x14ac:dyDescent="0.35">
      <c r="A11" s="14" t="s">
        <v>11</v>
      </c>
      <c r="B11" s="2" t="s">
        <v>88</v>
      </c>
      <c r="C11" s="2">
        <v>65.59</v>
      </c>
      <c r="D11" s="17">
        <f t="shared" si="0"/>
        <v>95.862083333333345</v>
      </c>
      <c r="E11" s="22">
        <f>Tableau691115[[#This Row],[Xt]]-Tableau691115[[#This Row],[Zt ]]</f>
        <v>-30.272083333333342</v>
      </c>
      <c r="F11" s="21">
        <v>-27.544351851851857</v>
      </c>
      <c r="G11" s="22">
        <f>Tableau691115[[#This Row],[Xt-Zt]]-Tableau691115[[#This Row],[St]]</f>
        <v>-2.7277314814814844</v>
      </c>
    </row>
    <row r="12" spans="1:7" x14ac:dyDescent="0.35">
      <c r="A12" s="14" t="s">
        <v>12</v>
      </c>
      <c r="B12" s="2" t="s">
        <v>89</v>
      </c>
      <c r="C12" s="2">
        <v>81.400000000000006</v>
      </c>
      <c r="D12" s="17">
        <f t="shared" si="0"/>
        <v>97.010416666666657</v>
      </c>
      <c r="E12" s="22">
        <f>Tableau691115[[#This Row],[Xt]]-Tableau691115[[#This Row],[Zt ]]</f>
        <v>-15.610416666666652</v>
      </c>
      <c r="F12" s="21">
        <v>-12.452407407407401</v>
      </c>
      <c r="G12" s="22">
        <f>Tableau691115[[#This Row],[Xt-Zt]]-Tableau691115[[#This Row],[St]]</f>
        <v>-3.1580092592592504</v>
      </c>
    </row>
    <row r="13" spans="1:7" x14ac:dyDescent="0.35">
      <c r="A13" s="14" t="s">
        <v>13</v>
      </c>
      <c r="B13" s="2" t="s">
        <v>90</v>
      </c>
      <c r="C13" s="2">
        <v>77.290000000000006</v>
      </c>
      <c r="D13" s="17">
        <f t="shared" si="0"/>
        <v>96.423333333333318</v>
      </c>
      <c r="E13" s="22">
        <f>Tableau691115[[#This Row],[Xt]]-Tableau691115[[#This Row],[Zt ]]</f>
        <v>-19.133333333333312</v>
      </c>
      <c r="F13" s="21">
        <v>-10.232407407407402</v>
      </c>
      <c r="G13" s="22">
        <f>Tableau691115[[#This Row],[Xt-Zt]]-Tableau691115[[#This Row],[St]]</f>
        <v>-8.9009259259259093</v>
      </c>
    </row>
    <row r="14" spans="1:7" x14ac:dyDescent="0.35">
      <c r="A14" s="14" t="s">
        <v>14</v>
      </c>
      <c r="B14" s="2" t="s">
        <v>79</v>
      </c>
      <c r="C14" s="2">
        <v>85.77</v>
      </c>
      <c r="D14" s="17">
        <f t="shared" si="0"/>
        <v>95.508333333333326</v>
      </c>
      <c r="E14" s="22">
        <f>Tableau691115[[#This Row],[Xt]]-Tableau691115[[#This Row],[Zt ]]</f>
        <v>-9.7383333333333297</v>
      </c>
      <c r="F14" s="21">
        <v>-10.995185185185187</v>
      </c>
      <c r="G14" s="22">
        <f>Tableau691115[[#This Row],[Xt-Zt]]-Tableau691115[[#This Row],[St]]</f>
        <v>1.2568518518518577</v>
      </c>
    </row>
    <row r="15" spans="1:7" x14ac:dyDescent="0.35">
      <c r="A15" s="14" t="s">
        <v>15</v>
      </c>
      <c r="B15" s="2" t="s">
        <v>80</v>
      </c>
      <c r="C15" s="2">
        <v>116.92</v>
      </c>
      <c r="D15" s="17">
        <f t="shared" si="0"/>
        <v>95.598749999999995</v>
      </c>
      <c r="E15" s="22">
        <f>Tableau691115[[#This Row],[Xt]]-Tableau691115[[#This Row],[Zt ]]</f>
        <v>21.321250000000006</v>
      </c>
      <c r="F15" s="21">
        <v>13.706481481481484</v>
      </c>
      <c r="G15" s="22">
        <f>Tableau691115[[#This Row],[Xt-Zt]]-Tableau691115[[#This Row],[St]]</f>
        <v>7.6147685185185221</v>
      </c>
    </row>
    <row r="16" spans="1:7" x14ac:dyDescent="0.35">
      <c r="A16" s="14" t="s">
        <v>16</v>
      </c>
      <c r="B16" s="2" t="s">
        <v>81</v>
      </c>
      <c r="C16" s="2">
        <v>109.88</v>
      </c>
      <c r="D16" s="17">
        <f t="shared" si="0"/>
        <v>95.688333333333333</v>
      </c>
      <c r="E16" s="22">
        <f>Tableau691115[[#This Row],[Xt]]-Tableau691115[[#This Row],[Zt ]]</f>
        <v>14.191666666666663</v>
      </c>
      <c r="F16" s="21">
        <v>18.608425925925925</v>
      </c>
      <c r="G16" s="22">
        <f>Tableau691115[[#This Row],[Xt-Zt]]-Tableau691115[[#This Row],[St]]</f>
        <v>-4.4167592592592619</v>
      </c>
    </row>
    <row r="17" spans="1:17" x14ac:dyDescent="0.35">
      <c r="A17" s="14" t="s">
        <v>17</v>
      </c>
      <c r="B17" s="2" t="s">
        <v>82</v>
      </c>
      <c r="C17" s="2">
        <v>131.63</v>
      </c>
      <c r="D17" s="17">
        <f t="shared" si="0"/>
        <v>95.678749999999994</v>
      </c>
      <c r="E17" s="22">
        <f>Tableau691115[[#This Row],[Xt]]-Tableau691115[[#This Row],[Zt ]]</f>
        <v>35.951250000000002</v>
      </c>
      <c r="F17" s="21">
        <v>31.621898148148151</v>
      </c>
      <c r="G17" s="22">
        <f>Tableau691115[[#This Row],[Xt-Zt]]-Tableau691115[[#This Row],[St]]</f>
        <v>4.3293518518518503</v>
      </c>
    </row>
    <row r="18" spans="1:17" x14ac:dyDescent="0.35">
      <c r="A18" s="14" t="s">
        <v>18</v>
      </c>
      <c r="B18" s="2" t="s">
        <v>83</v>
      </c>
      <c r="C18" s="2">
        <v>128.78</v>
      </c>
      <c r="D18" s="17">
        <f t="shared" si="0"/>
        <v>95.864583333333314</v>
      </c>
      <c r="E18" s="22">
        <f>Tableau691115[[#This Row],[Xt]]-Tableau691115[[#This Row],[Zt ]]</f>
        <v>32.915416666666687</v>
      </c>
      <c r="F18" s="21">
        <v>26.303148148148157</v>
      </c>
      <c r="G18" s="22">
        <f>Tableau691115[[#This Row],[Xt-Zt]]-Tableau691115[[#This Row],[St]]</f>
        <v>6.6122685185185297</v>
      </c>
    </row>
    <row r="19" spans="1:17" x14ac:dyDescent="0.35">
      <c r="A19" s="14" t="s">
        <v>19</v>
      </c>
      <c r="B19" s="2" t="s">
        <v>84</v>
      </c>
      <c r="C19" s="2">
        <v>87.85</v>
      </c>
      <c r="D19" s="17">
        <f t="shared" si="0"/>
        <v>96.672499999999985</v>
      </c>
      <c r="E19" s="22">
        <f>Tableau691115[[#This Row],[Xt]]-Tableau691115[[#This Row],[Zt ]]</f>
        <v>-8.8224999999999909</v>
      </c>
      <c r="F19" s="21">
        <v>12.197037037037035</v>
      </c>
      <c r="G19" s="22">
        <f>Tableau691115[[#This Row],[Xt-Zt]]-Tableau691115[[#This Row],[St]]</f>
        <v>-21.019537037037026</v>
      </c>
    </row>
    <row r="20" spans="1:17" x14ac:dyDescent="0.35">
      <c r="A20" s="14" t="s">
        <v>20</v>
      </c>
      <c r="B20" s="2" t="s">
        <v>85</v>
      </c>
      <c r="C20" s="2">
        <v>93.65</v>
      </c>
      <c r="D20" s="17">
        <f t="shared" si="0"/>
        <v>97.97999999999999</v>
      </c>
      <c r="E20" s="22">
        <f>Tableau691115[[#This Row],[Xt]]-Tableau691115[[#This Row],[Zt ]]</f>
        <v>-4.3299999999999841</v>
      </c>
      <c r="F20" s="21">
        <v>-5.7021296296296242</v>
      </c>
      <c r="G20" s="22">
        <f>Tableau691115[[#This Row],[Xt-Zt]]-Tableau691115[[#This Row],[St]]</f>
        <v>1.3721296296296401</v>
      </c>
    </row>
    <row r="21" spans="1:17" x14ac:dyDescent="0.35">
      <c r="A21" s="14" t="s">
        <v>21</v>
      </c>
      <c r="B21" s="2" t="s">
        <v>86</v>
      </c>
      <c r="C21" s="2">
        <v>99.41</v>
      </c>
      <c r="D21" s="17">
        <f t="shared" si="0"/>
        <v>98.03</v>
      </c>
      <c r="E21" s="22">
        <f>Tableau691115[[#This Row],[Xt]]-Tableau691115[[#This Row],[Zt ]]</f>
        <v>1.3799999999999955</v>
      </c>
      <c r="F21" s="21">
        <v>-10.225185185185191</v>
      </c>
      <c r="G21" s="22">
        <f>Tableau691115[[#This Row],[Xt-Zt]]-Tableau691115[[#This Row],[St]]</f>
        <v>11.605185185185187</v>
      </c>
    </row>
    <row r="22" spans="1:17" x14ac:dyDescent="0.35">
      <c r="A22" s="14" t="s">
        <v>22</v>
      </c>
      <c r="B22" s="2" t="s">
        <v>87</v>
      </c>
      <c r="C22" s="2">
        <v>68.040000000000006</v>
      </c>
      <c r="D22" s="17">
        <f t="shared" si="0"/>
        <v>98.806249999999991</v>
      </c>
      <c r="E22" s="22">
        <f>Tableau691115[[#This Row],[Xt]]-Tableau691115[[#This Row],[Zt ]]</f>
        <v>-30.766249999999985</v>
      </c>
      <c r="F22" s="21">
        <v>-25.285324074074079</v>
      </c>
      <c r="G22" s="22">
        <f>Tableau691115[[#This Row],[Xt-Zt]]-Tableau691115[[#This Row],[St]]</f>
        <v>-5.4809259259259058</v>
      </c>
    </row>
    <row r="23" spans="1:17" x14ac:dyDescent="0.35">
      <c r="A23" s="14" t="s">
        <v>23</v>
      </c>
      <c r="B23" s="2" t="s">
        <v>88</v>
      </c>
      <c r="C23" s="2">
        <v>69.459999999999994</v>
      </c>
      <c r="D23" s="17">
        <f t="shared" si="0"/>
        <v>100.81458333333333</v>
      </c>
      <c r="E23" s="22">
        <f>Tableau691115[[#This Row],[Xt]]-Tableau691115[[#This Row],[Zt ]]</f>
        <v>-31.354583333333338</v>
      </c>
      <c r="F23" s="21">
        <v>-27.544351851851857</v>
      </c>
      <c r="G23" s="22">
        <f>Tableau691115[[#This Row],[Xt-Zt]]-Tableau691115[[#This Row],[St]]</f>
        <v>-3.8102314814814804</v>
      </c>
    </row>
    <row r="24" spans="1:17" x14ac:dyDescent="0.35">
      <c r="A24" s="14" t="s">
        <v>24</v>
      </c>
      <c r="B24" s="2" t="s">
        <v>89</v>
      </c>
      <c r="C24" s="2">
        <v>81.99</v>
      </c>
      <c r="D24" s="17">
        <f t="shared" si="0"/>
        <v>101.63458333333332</v>
      </c>
      <c r="E24" s="22">
        <f>Tableau691115[[#This Row],[Xt]]-Tableau691115[[#This Row],[Zt ]]</f>
        <v>-19.64458333333333</v>
      </c>
      <c r="F24" s="21">
        <v>-12.452407407407401</v>
      </c>
      <c r="G24" s="22">
        <f>Tableau691115[[#This Row],[Xt-Zt]]-Tableau691115[[#This Row],[St]]</f>
        <v>-7.1921759259259286</v>
      </c>
    </row>
    <row r="25" spans="1:17" x14ac:dyDescent="0.35">
      <c r="A25" s="14" t="s">
        <v>25</v>
      </c>
      <c r="B25" s="2" t="s">
        <v>90</v>
      </c>
      <c r="C25" s="2">
        <v>96.09</v>
      </c>
      <c r="D25" s="17">
        <f t="shared" si="0"/>
        <v>102.90125</v>
      </c>
      <c r="E25" s="22">
        <f>Tableau691115[[#This Row],[Xt]]-Tableau691115[[#This Row],[Zt ]]</f>
        <v>-6.8112500000000011</v>
      </c>
      <c r="F25" s="21">
        <v>-10.232407407407402</v>
      </c>
      <c r="G25" s="22">
        <f>Tableau691115[[#This Row],[Xt-Zt]]-Tableau691115[[#This Row],[St]]</f>
        <v>3.4211574074074012</v>
      </c>
    </row>
    <row r="26" spans="1:17" x14ac:dyDescent="0.35">
      <c r="A26" s="14" t="s">
        <v>26</v>
      </c>
      <c r="B26" s="2" t="s">
        <v>79</v>
      </c>
      <c r="C26" s="2">
        <v>98.35</v>
      </c>
      <c r="D26" s="17">
        <f t="shared" si="0"/>
        <v>103.97499999999999</v>
      </c>
      <c r="E26" s="22">
        <f>Tableau691115[[#This Row],[Xt]]-Tableau691115[[#This Row],[Zt ]]</f>
        <v>-5.625</v>
      </c>
      <c r="F26" s="21">
        <v>-10.995185185185187</v>
      </c>
      <c r="G26" s="22">
        <f>Tableau691115[[#This Row],[Xt-Zt]]-Tableau691115[[#This Row],[St]]</f>
        <v>5.3701851851851874</v>
      </c>
    </row>
    <row r="27" spans="1:17" x14ac:dyDescent="0.35">
      <c r="A27" s="14" t="s">
        <v>27</v>
      </c>
      <c r="B27" s="2" t="s">
        <v>80</v>
      </c>
      <c r="C27" s="2">
        <v>105.54</v>
      </c>
      <c r="D27" s="17">
        <f t="shared" si="0"/>
        <v>102.85791666666665</v>
      </c>
      <c r="E27" s="22">
        <f>Tableau691115[[#This Row],[Xt]]-Tableau691115[[#This Row],[Zt ]]</f>
        <v>2.6820833333333525</v>
      </c>
      <c r="F27" s="21">
        <v>13.706481481481484</v>
      </c>
      <c r="G27" s="22">
        <f>Tableau691115[[#This Row],[Xt-Zt]]-Tableau691115[[#This Row],[St]]</f>
        <v>-11.024398148148132</v>
      </c>
    </row>
    <row r="28" spans="1:17" ht="31" customHeight="1" x14ac:dyDescent="0.35">
      <c r="A28" s="14" t="s">
        <v>28</v>
      </c>
      <c r="B28" s="2" t="s">
        <v>81</v>
      </c>
      <c r="C28" s="2">
        <v>139.88999999999999</v>
      </c>
      <c r="D28" s="17">
        <f t="shared" si="0"/>
        <v>102.45166666666665</v>
      </c>
      <c r="E28" s="22">
        <f>Tableau691115[[#This Row],[Xt]]-Tableau691115[[#This Row],[Zt ]]</f>
        <v>37.438333333333333</v>
      </c>
      <c r="F28" s="21">
        <v>18.608425925925925</v>
      </c>
      <c r="G28" s="22">
        <f>Tableau691115[[#This Row],[Xt-Zt]]-Tableau691115[[#This Row],[St]]</f>
        <v>18.829907407407408</v>
      </c>
      <c r="K28" s="37"/>
      <c r="L28" s="42" t="s">
        <v>78</v>
      </c>
      <c r="M28" s="42" t="s">
        <v>92</v>
      </c>
      <c r="N28" s="42" t="s">
        <v>93</v>
      </c>
      <c r="O28" s="42" t="s">
        <v>94</v>
      </c>
      <c r="Q28" s="41"/>
    </row>
    <row r="29" spans="1:17" ht="22.5" customHeight="1" x14ac:dyDescent="0.35">
      <c r="A29" s="14" t="s">
        <v>29</v>
      </c>
      <c r="B29" s="2" t="s">
        <v>82</v>
      </c>
      <c r="C29" s="2">
        <v>149.82</v>
      </c>
      <c r="D29" s="17">
        <f t="shared" si="0"/>
        <v>103.45583333333332</v>
      </c>
      <c r="E29" s="22">
        <f>Tableau691115[[#This Row],[Xt]]-Tableau691115[[#This Row],[Zt ]]</f>
        <v>46.364166666666677</v>
      </c>
      <c r="F29" s="21">
        <v>31.621898148148151</v>
      </c>
      <c r="G29" s="22">
        <f>Tableau691115[[#This Row],[Xt-Zt]]-Tableau691115[[#This Row],[St]]</f>
        <v>14.742268518518525</v>
      </c>
      <c r="L29" s="42">
        <v>-0.27495370370370154</v>
      </c>
      <c r="M29" s="42">
        <v>9.9451832244753646</v>
      </c>
      <c r="N29" s="42">
        <v>-21.019537037037026</v>
      </c>
      <c r="O29" s="42">
        <v>20.720046296296289</v>
      </c>
    </row>
    <row r="30" spans="1:17" x14ac:dyDescent="0.35">
      <c r="A30" s="14" t="s">
        <v>30</v>
      </c>
      <c r="B30" s="2" t="s">
        <v>83</v>
      </c>
      <c r="C30" s="2">
        <v>130.27000000000001</v>
      </c>
      <c r="D30" s="17">
        <f t="shared" si="0"/>
        <v>104.50583333333333</v>
      </c>
      <c r="E30" s="22">
        <f>Tableau691115[[#This Row],[Xt]]-Tableau691115[[#This Row],[Zt ]]</f>
        <v>25.764166666666682</v>
      </c>
      <c r="F30" s="21">
        <v>26.303148148148157</v>
      </c>
      <c r="G30" s="22">
        <f>Tableau691115[[#This Row],[Xt-Zt]]-Tableau691115[[#This Row],[St]]</f>
        <v>-0.53898148148147484</v>
      </c>
      <c r="K30" s="37"/>
    </row>
    <row r="31" spans="1:17" x14ac:dyDescent="0.35">
      <c r="A31" s="14" t="s">
        <v>31</v>
      </c>
      <c r="B31" s="2" t="s">
        <v>84</v>
      </c>
      <c r="C31" s="2">
        <v>116.76</v>
      </c>
      <c r="D31" s="17">
        <f t="shared" si="0"/>
        <v>105.08833333333334</v>
      </c>
      <c r="E31" s="22">
        <f>Tableau691115[[#This Row],[Xt]]-Tableau691115[[#This Row],[Zt ]]</f>
        <v>11.671666666666667</v>
      </c>
      <c r="F31" s="21">
        <v>12.197037037037035</v>
      </c>
      <c r="G31" s="22">
        <f>Tableau691115[[#This Row],[Xt-Zt]]-Tableau691115[[#This Row],[St]]</f>
        <v>-0.52537037037036782</v>
      </c>
      <c r="K31" s="37"/>
    </row>
    <row r="32" spans="1:17" x14ac:dyDescent="0.35">
      <c r="A32" s="14" t="s">
        <v>32</v>
      </c>
      <c r="B32" s="2" t="s">
        <v>85</v>
      </c>
      <c r="C32" s="2">
        <v>90.51</v>
      </c>
      <c r="D32" s="17">
        <f t="shared" si="0"/>
        <v>104.48833333333334</v>
      </c>
      <c r="E32" s="22">
        <f>Tableau691115[[#This Row],[Xt]]-Tableau691115[[#This Row],[Zt ]]</f>
        <v>-13.978333333333339</v>
      </c>
      <c r="F32" s="21">
        <v>-5.7021296296296242</v>
      </c>
      <c r="G32" s="22">
        <f>Tableau691115[[#This Row],[Xt-Zt]]-Tableau691115[[#This Row],[St]]</f>
        <v>-8.2762037037037146</v>
      </c>
    </row>
    <row r="33" spans="1:7" x14ac:dyDescent="0.35">
      <c r="A33" s="14" t="s">
        <v>33</v>
      </c>
      <c r="B33" s="2" t="s">
        <v>86</v>
      </c>
      <c r="C33" s="2">
        <v>75.739999999999995</v>
      </c>
      <c r="D33" s="17">
        <f t="shared" si="0"/>
        <v>104.62666666666667</v>
      </c>
      <c r="E33" s="22">
        <f>Tableau691115[[#This Row],[Xt]]-Tableau691115[[#This Row],[Zt ]]</f>
        <v>-28.88666666666667</v>
      </c>
      <c r="F33" s="21">
        <v>-10.225185185185191</v>
      </c>
      <c r="G33" s="22">
        <f>Tableau691115[[#This Row],[Xt-Zt]]-Tableau691115[[#This Row],[St]]</f>
        <v>-18.661481481481481</v>
      </c>
    </row>
    <row r="34" spans="1:7" x14ac:dyDescent="0.35">
      <c r="A34" s="14" t="s">
        <v>34</v>
      </c>
      <c r="B34" s="2" t="s">
        <v>87</v>
      </c>
      <c r="C34" s="2">
        <v>81.96</v>
      </c>
      <c r="D34" s="17">
        <f t="shared" si="0"/>
        <v>104.06166666666667</v>
      </c>
      <c r="E34" s="22">
        <f>Tableau691115[[#This Row],[Xt]]-Tableau691115[[#This Row],[Zt ]]</f>
        <v>-22.101666666666674</v>
      </c>
      <c r="F34" s="21">
        <v>-25.285324074074079</v>
      </c>
      <c r="G34" s="22">
        <f>Tableau691115[[#This Row],[Xt-Zt]]-Tableau691115[[#This Row],[St]]</f>
        <v>3.1836574074074058</v>
      </c>
    </row>
    <row r="35" spans="1:7" x14ac:dyDescent="0.35">
      <c r="A35" s="14" t="s">
        <v>35</v>
      </c>
      <c r="B35" s="2" t="s">
        <v>88</v>
      </c>
      <c r="C35" s="2">
        <v>79.64</v>
      </c>
      <c r="D35" s="17">
        <f t="shared" si="0"/>
        <v>101.47125</v>
      </c>
      <c r="E35" s="22">
        <f>Tableau691115[[#This Row],[Xt]]-Tableau691115[[#This Row],[Zt ]]</f>
        <v>-21.831249999999997</v>
      </c>
      <c r="F35" s="21">
        <v>-27.544351851851857</v>
      </c>
      <c r="G35" s="22">
        <f>Tableau691115[[#This Row],[Xt-Zt]]-Tableau691115[[#This Row],[St]]</f>
        <v>5.7131018518518601</v>
      </c>
    </row>
    <row r="36" spans="1:7" x14ac:dyDescent="0.35">
      <c r="A36" s="14" t="s">
        <v>36</v>
      </c>
      <c r="B36" s="2" t="s">
        <v>89</v>
      </c>
      <c r="C36" s="2">
        <v>97.01</v>
      </c>
      <c r="D36" s="17">
        <f t="shared" si="0"/>
        <v>99.937083333333334</v>
      </c>
      <c r="E36" s="22">
        <f>Tableau691115[[#This Row],[Xt]]-Tableau691115[[#This Row],[Zt ]]</f>
        <v>-2.9270833333333286</v>
      </c>
      <c r="F36" s="21">
        <v>-12.452407407407401</v>
      </c>
      <c r="G36" s="22">
        <f>Tableau691115[[#This Row],[Xt-Zt]]-Tableau691115[[#This Row],[St]]</f>
        <v>9.5253240740740726</v>
      </c>
    </row>
    <row r="37" spans="1:7" x14ac:dyDescent="0.35">
      <c r="A37" s="14" t="s">
        <v>37</v>
      </c>
      <c r="B37" s="2" t="s">
        <v>90</v>
      </c>
      <c r="C37" s="2">
        <v>95.05</v>
      </c>
      <c r="D37" s="17">
        <f t="shared" si="0"/>
        <v>100.6275</v>
      </c>
      <c r="E37" s="22">
        <f>Tableau691115[[#This Row],[Xt]]-Tableau691115[[#This Row],[Zt ]]</f>
        <v>-5.5775000000000006</v>
      </c>
      <c r="F37" s="21">
        <v>-10.232407407407402</v>
      </c>
      <c r="G37" s="22">
        <f>Tableau691115[[#This Row],[Xt-Zt]]-Tableau691115[[#This Row],[St]]</f>
        <v>4.6549074074074017</v>
      </c>
    </row>
    <row r="38" spans="1:7" x14ac:dyDescent="0.35">
      <c r="A38" s="14" t="s">
        <v>38</v>
      </c>
      <c r="B38" s="2" t="s">
        <v>79</v>
      </c>
      <c r="C38" s="2">
        <v>84.99</v>
      </c>
      <c r="D38" s="17">
        <f t="shared" si="0"/>
        <v>103.43708333333333</v>
      </c>
      <c r="E38" s="22">
        <f>Tableau691115[[#This Row],[Xt]]-Tableau691115[[#This Row],[Zt ]]</f>
        <v>-18.447083333333339</v>
      </c>
      <c r="F38" s="21">
        <v>-10.995185185185187</v>
      </c>
      <c r="G38" s="22">
        <f>Tableau691115[[#This Row],[Xt-Zt]]-Tableau691115[[#This Row],[St]]</f>
        <v>-7.4518981481481514</v>
      </c>
    </row>
    <row r="39" spans="1:7" x14ac:dyDescent="0.35">
      <c r="A39" s="14" t="s">
        <v>39</v>
      </c>
      <c r="B39" s="2" t="s">
        <v>80</v>
      </c>
      <c r="C39" s="2">
        <v>122.22</v>
      </c>
      <c r="D39" s="17">
        <f t="shared" si="0"/>
        <v>105.92875000000001</v>
      </c>
      <c r="E39" s="22">
        <f>Tableau691115[[#This Row],[Xt]]-Tableau691115[[#This Row],[Zt ]]</f>
        <v>16.291249999999991</v>
      </c>
      <c r="F39" s="21">
        <v>13.706481481481484</v>
      </c>
      <c r="G39" s="22">
        <f>Tableau691115[[#This Row],[Xt-Zt]]-Tableau691115[[#This Row],[St]]</f>
        <v>2.5847685185185068</v>
      </c>
    </row>
    <row r="40" spans="1:7" x14ac:dyDescent="0.35">
      <c r="A40" s="14" t="s">
        <v>40</v>
      </c>
      <c r="B40" s="2" t="s">
        <v>81</v>
      </c>
      <c r="C40" s="2">
        <v>109.65</v>
      </c>
      <c r="D40" s="17">
        <f t="shared" si="0"/>
        <v>106.27958333333333</v>
      </c>
      <c r="E40" s="22">
        <f>Tableau691115[[#This Row],[Xt]]-Tableau691115[[#This Row],[Zt ]]</f>
        <v>3.3704166666666708</v>
      </c>
      <c r="F40" s="21">
        <v>18.608425925925925</v>
      </c>
      <c r="G40" s="22">
        <f>Tableau691115[[#This Row],[Xt-Zt]]-Tableau691115[[#This Row],[St]]</f>
        <v>-15.238009259259254</v>
      </c>
    </row>
    <row r="41" spans="1:7" x14ac:dyDescent="0.35">
      <c r="A41" s="14" t="s">
        <v>41</v>
      </c>
      <c r="B41" s="2" t="s">
        <v>82</v>
      </c>
      <c r="C41" s="2">
        <v>117.89</v>
      </c>
      <c r="D41" s="17">
        <f t="shared" si="0"/>
        <v>106.16458333333333</v>
      </c>
      <c r="E41" s="22">
        <f>Tableau691115[[#This Row],[Xt]]-Tableau691115[[#This Row],[Zt ]]</f>
        <v>11.725416666666675</v>
      </c>
      <c r="F41" s="21">
        <v>31.621898148148151</v>
      </c>
      <c r="G41" s="22">
        <f>Tableau691115[[#This Row],[Xt-Zt]]-Tableau691115[[#This Row],[St]]</f>
        <v>-19.896481481481477</v>
      </c>
    </row>
    <row r="42" spans="1:7" x14ac:dyDescent="0.35">
      <c r="A42" s="14" t="s">
        <v>42</v>
      </c>
      <c r="B42" s="2" t="s">
        <v>83</v>
      </c>
      <c r="C42" s="2">
        <v>125.38</v>
      </c>
      <c r="D42" s="17">
        <f t="shared" si="0"/>
        <v>105.97499999999999</v>
      </c>
      <c r="E42" s="22">
        <f>Tableau691115[[#This Row],[Xt]]-Tableau691115[[#This Row],[Zt ]]</f>
        <v>19.405000000000001</v>
      </c>
      <c r="F42" s="21">
        <v>26.303148148148157</v>
      </c>
      <c r="G42" s="22">
        <f>Tableau691115[[#This Row],[Xt-Zt]]-Tableau691115[[#This Row],[St]]</f>
        <v>-6.8981481481481559</v>
      </c>
    </row>
    <row r="43" spans="1:7" x14ac:dyDescent="0.35">
      <c r="A43" s="14" t="s">
        <v>43</v>
      </c>
      <c r="B43" s="2" t="s">
        <v>84</v>
      </c>
      <c r="C43" s="2">
        <v>138.22</v>
      </c>
      <c r="D43" s="17">
        <f t="shared" si="0"/>
        <v>105.30291666666668</v>
      </c>
      <c r="E43" s="22">
        <f>Tableau691115[[#This Row],[Xt]]-Tableau691115[[#This Row],[Zt ]]</f>
        <v>32.917083333333323</v>
      </c>
      <c r="F43" s="21">
        <v>12.197037037037035</v>
      </c>
      <c r="G43" s="22">
        <f>Tableau691115[[#This Row],[Xt-Zt]]-Tableau691115[[#This Row],[St]]</f>
        <v>20.720046296296289</v>
      </c>
    </row>
    <row r="44" spans="1:7" x14ac:dyDescent="0.35">
      <c r="A44" s="14" t="s">
        <v>44</v>
      </c>
      <c r="B44" s="2" t="s">
        <v>85</v>
      </c>
      <c r="C44" s="2">
        <v>136.47999999999999</v>
      </c>
      <c r="D44" s="18">
        <v>0</v>
      </c>
      <c r="E44" s="20"/>
      <c r="F44" s="21">
        <v>-5.7021296296296242</v>
      </c>
      <c r="G44" s="36">
        <v>0</v>
      </c>
    </row>
    <row r="45" spans="1:7" x14ac:dyDescent="0.35">
      <c r="A45" s="14" t="s">
        <v>45</v>
      </c>
      <c r="B45" s="2" t="s">
        <v>86</v>
      </c>
      <c r="C45" s="2">
        <v>89.57</v>
      </c>
      <c r="D45" s="18">
        <v>0</v>
      </c>
      <c r="E45" s="20"/>
      <c r="F45" s="21">
        <v>-10.225185185185191</v>
      </c>
      <c r="G45" s="36">
        <v>0</v>
      </c>
    </row>
    <row r="46" spans="1:7" x14ac:dyDescent="0.35">
      <c r="A46" s="14" t="s">
        <v>46</v>
      </c>
      <c r="B46" s="2" t="s">
        <v>87</v>
      </c>
      <c r="C46" s="2">
        <v>76.55</v>
      </c>
      <c r="D46" s="18">
        <v>0</v>
      </c>
      <c r="E46" s="20"/>
      <c r="F46" s="21">
        <v>-25.285324074074079</v>
      </c>
      <c r="G46" s="36">
        <v>0</v>
      </c>
    </row>
    <row r="47" spans="1:7" x14ac:dyDescent="0.35">
      <c r="A47" s="14" t="s">
        <v>47</v>
      </c>
      <c r="B47" s="2" t="s">
        <v>88</v>
      </c>
      <c r="C47" s="2">
        <v>82.29</v>
      </c>
      <c r="D47" s="18">
        <v>0</v>
      </c>
      <c r="E47" s="20"/>
      <c r="F47" s="21">
        <v>-27.544351851851857</v>
      </c>
      <c r="G47" s="36">
        <v>0</v>
      </c>
    </row>
    <row r="48" spans="1:7" x14ac:dyDescent="0.35">
      <c r="A48" s="14" t="s">
        <v>48</v>
      </c>
      <c r="B48" s="2" t="s">
        <v>89</v>
      </c>
      <c r="C48" s="2">
        <v>89.81</v>
      </c>
      <c r="D48" s="18">
        <v>0</v>
      </c>
      <c r="E48" s="20"/>
      <c r="F48" s="21">
        <v>-12.452407407407401</v>
      </c>
      <c r="G48" s="36">
        <v>0</v>
      </c>
    </row>
    <row r="49" spans="1:7" x14ac:dyDescent="0.35">
      <c r="A49" s="15" t="s">
        <v>49</v>
      </c>
      <c r="B49" s="2" t="s">
        <v>90</v>
      </c>
      <c r="C49" s="9">
        <v>86.12</v>
      </c>
      <c r="D49" s="18">
        <v>0</v>
      </c>
      <c r="E49" s="20"/>
      <c r="F49" s="21">
        <v>-10.232407407407402</v>
      </c>
      <c r="G49" s="36">
        <v>0</v>
      </c>
    </row>
    <row r="50" spans="1:7" x14ac:dyDescent="0.35">
      <c r="A50" s="15"/>
      <c r="B50" s="9"/>
      <c r="C50" s="9"/>
      <c r="D50" s="10"/>
      <c r="F50" s="38"/>
      <c r="G50" s="39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1574-5B71-48D3-B85A-7C9487513EBF}">
  <dimension ref="A4:S171"/>
  <sheetViews>
    <sheetView tabSelected="1" topLeftCell="C33" workbookViewId="0">
      <selection activeCell="F127" sqref="F127"/>
    </sheetView>
  </sheetViews>
  <sheetFormatPr baseColWidth="10" defaultRowHeight="14.5" x14ac:dyDescent="0.35"/>
  <cols>
    <col min="2" max="2" width="17.81640625" customWidth="1"/>
    <col min="4" max="4" width="26" customWidth="1"/>
  </cols>
  <sheetData>
    <row r="4" spans="2:17" x14ac:dyDescent="0.35">
      <c r="N4" t="s">
        <v>191</v>
      </c>
      <c r="O4" s="75" t="s">
        <v>0</v>
      </c>
      <c r="P4" s="32" t="s">
        <v>76</v>
      </c>
      <c r="Q4" s="32" t="s">
        <v>50</v>
      </c>
    </row>
    <row r="5" spans="2:17" x14ac:dyDescent="0.35">
      <c r="N5">
        <v>1</v>
      </c>
      <c r="O5" s="76" t="s">
        <v>2</v>
      </c>
      <c r="P5" s="33" t="s">
        <v>79</v>
      </c>
      <c r="Q5" s="33">
        <v>87.68</v>
      </c>
    </row>
    <row r="6" spans="2:17" x14ac:dyDescent="0.35">
      <c r="N6">
        <v>2</v>
      </c>
      <c r="O6" s="77" t="s">
        <v>3</v>
      </c>
      <c r="P6" s="34" t="s">
        <v>80</v>
      </c>
      <c r="Q6" s="34">
        <v>119.79</v>
      </c>
    </row>
    <row r="7" spans="2:17" x14ac:dyDescent="0.35">
      <c r="N7">
        <v>3</v>
      </c>
      <c r="O7" s="76" t="s">
        <v>4</v>
      </c>
      <c r="P7" s="33" t="s">
        <v>81</v>
      </c>
      <c r="Q7" s="33">
        <v>135.83000000000001</v>
      </c>
    </row>
    <row r="8" spans="2:17" x14ac:dyDescent="0.35">
      <c r="N8">
        <v>4</v>
      </c>
      <c r="O8" s="77" t="s">
        <v>5</v>
      </c>
      <c r="P8" s="34" t="s">
        <v>82</v>
      </c>
      <c r="Q8" s="34">
        <v>107.86</v>
      </c>
    </row>
    <row r="9" spans="2:17" x14ac:dyDescent="0.35">
      <c r="N9">
        <v>5</v>
      </c>
      <c r="O9" s="76" t="s">
        <v>6</v>
      </c>
      <c r="P9" s="33" t="s">
        <v>83</v>
      </c>
      <c r="Q9" s="33">
        <v>124.99</v>
      </c>
    </row>
    <row r="10" spans="2:17" x14ac:dyDescent="0.35">
      <c r="N10">
        <v>6</v>
      </c>
      <c r="O10" s="77" t="s">
        <v>7</v>
      </c>
      <c r="P10" s="34" t="s">
        <v>84</v>
      </c>
      <c r="Q10" s="34">
        <v>105.73</v>
      </c>
    </row>
    <row r="11" spans="2:17" x14ac:dyDescent="0.35">
      <c r="N11">
        <v>7</v>
      </c>
      <c r="O11" s="76" t="s">
        <v>8</v>
      </c>
      <c r="P11" s="33" t="s">
        <v>85</v>
      </c>
      <c r="Q11" s="33">
        <v>97.73</v>
      </c>
    </row>
    <row r="12" spans="2:17" x14ac:dyDescent="0.35">
      <c r="N12">
        <v>8</v>
      </c>
      <c r="O12" s="77" t="s">
        <v>9</v>
      </c>
      <c r="P12" s="34" t="s">
        <v>86</v>
      </c>
      <c r="Q12" s="34">
        <v>93.16</v>
      </c>
    </row>
    <row r="13" spans="2:17" x14ac:dyDescent="0.35">
      <c r="N13">
        <v>9</v>
      </c>
      <c r="O13" s="76" t="s">
        <v>10</v>
      </c>
      <c r="P13" s="33" t="s">
        <v>87</v>
      </c>
      <c r="Q13" s="33">
        <v>72.14</v>
      </c>
    </row>
    <row r="14" spans="2:17" x14ac:dyDescent="0.35">
      <c r="B14" s="43" t="s">
        <v>99</v>
      </c>
      <c r="C14" s="43" t="s">
        <v>100</v>
      </c>
      <c r="D14" s="43" t="s">
        <v>101</v>
      </c>
      <c r="E14" s="113" t="s">
        <v>106</v>
      </c>
      <c r="F14" s="113"/>
      <c r="G14" s="113"/>
      <c r="H14" s="113"/>
      <c r="I14" s="113"/>
      <c r="J14" s="113"/>
      <c r="N14">
        <v>10</v>
      </c>
      <c r="O14" s="77" t="s">
        <v>11</v>
      </c>
      <c r="P14" s="34" t="s">
        <v>88</v>
      </c>
      <c r="Q14" s="34">
        <v>65.59</v>
      </c>
    </row>
    <row r="15" spans="2:17" x14ac:dyDescent="0.35">
      <c r="B15" s="2" t="s">
        <v>95</v>
      </c>
      <c r="C15" s="2">
        <v>0.1</v>
      </c>
      <c r="D15" s="2" t="s">
        <v>102</v>
      </c>
      <c r="E15" s="114" t="s">
        <v>109</v>
      </c>
      <c r="F15" s="114"/>
      <c r="G15" s="114"/>
      <c r="H15" s="114"/>
      <c r="I15" s="114"/>
      <c r="J15" s="114"/>
      <c r="N15">
        <v>11</v>
      </c>
      <c r="O15" s="76" t="s">
        <v>12</v>
      </c>
      <c r="P15" s="33" t="s">
        <v>89</v>
      </c>
      <c r="Q15" s="33">
        <v>81.400000000000006</v>
      </c>
    </row>
    <row r="16" spans="2:17" x14ac:dyDescent="0.35">
      <c r="B16" s="2" t="s">
        <v>96</v>
      </c>
      <c r="C16" s="2">
        <v>0.1</v>
      </c>
      <c r="D16" s="2" t="s">
        <v>104</v>
      </c>
      <c r="E16" s="114" t="s">
        <v>107</v>
      </c>
      <c r="F16" s="114"/>
      <c r="G16" s="114"/>
      <c r="H16" s="114"/>
      <c r="I16" s="114"/>
      <c r="J16" s="114"/>
      <c r="N16">
        <v>12</v>
      </c>
      <c r="O16" s="77" t="s">
        <v>13</v>
      </c>
      <c r="P16" s="34" t="s">
        <v>90</v>
      </c>
      <c r="Q16" s="34">
        <v>77.290000000000006</v>
      </c>
    </row>
    <row r="17" spans="2:17" x14ac:dyDescent="0.35">
      <c r="B17" s="2" t="s">
        <v>97</v>
      </c>
      <c r="C17" s="2">
        <v>0.2</v>
      </c>
      <c r="D17" s="2" t="s">
        <v>103</v>
      </c>
      <c r="E17" s="114" t="s">
        <v>108</v>
      </c>
      <c r="F17" s="114"/>
      <c r="G17" s="114"/>
      <c r="H17" s="114"/>
      <c r="I17" s="114"/>
      <c r="J17" s="114"/>
      <c r="N17">
        <v>13</v>
      </c>
      <c r="O17" s="76" t="s">
        <v>14</v>
      </c>
      <c r="P17" s="33" t="s">
        <v>79</v>
      </c>
      <c r="Q17" s="33">
        <v>85.77</v>
      </c>
    </row>
    <row r="18" spans="2:17" x14ac:dyDescent="0.35">
      <c r="B18" s="2" t="s">
        <v>98</v>
      </c>
      <c r="C18" s="2">
        <v>12</v>
      </c>
      <c r="D18" s="2" t="s">
        <v>105</v>
      </c>
      <c r="E18" s="114" t="s">
        <v>110</v>
      </c>
      <c r="F18" s="114"/>
      <c r="G18" s="114"/>
      <c r="H18" s="114"/>
      <c r="I18" s="114"/>
      <c r="J18" s="114"/>
      <c r="N18">
        <v>14</v>
      </c>
      <c r="O18" s="77" t="s">
        <v>15</v>
      </c>
      <c r="P18" s="34" t="s">
        <v>80</v>
      </c>
      <c r="Q18" s="34">
        <v>116.92</v>
      </c>
    </row>
    <row r="19" spans="2:17" ht="15.5" x14ac:dyDescent="0.35">
      <c r="B19" s="54" t="s">
        <v>111</v>
      </c>
      <c r="C19" s="50">
        <f>INTERCEPT(Q5:Q52,N5:N52)</f>
        <v>100.73214539007093</v>
      </c>
      <c r="D19" s="55" t="s">
        <v>124</v>
      </c>
      <c r="E19" s="105" t="s">
        <v>192</v>
      </c>
      <c r="F19" s="106"/>
      <c r="G19" s="106"/>
      <c r="H19" s="106"/>
      <c r="I19" s="106"/>
      <c r="J19" s="107"/>
      <c r="K19" s="52"/>
      <c r="L19" s="49"/>
      <c r="M19" s="49"/>
      <c r="N19">
        <v>15</v>
      </c>
      <c r="O19" s="76" t="s">
        <v>16</v>
      </c>
      <c r="P19" s="33" t="s">
        <v>81</v>
      </c>
      <c r="Q19" s="33">
        <v>109.88</v>
      </c>
    </row>
    <row r="20" spans="2:17" x14ac:dyDescent="0.35">
      <c r="B20" s="54" t="s">
        <v>126</v>
      </c>
      <c r="C20" s="50">
        <f>SLOPE(Q5:Q52,N5:N52)</f>
        <v>1.9750868432479255E-2</v>
      </c>
      <c r="D20" s="56" t="s">
        <v>125</v>
      </c>
      <c r="E20" s="105" t="s">
        <v>193</v>
      </c>
      <c r="F20" s="106"/>
      <c r="G20" s="106"/>
      <c r="H20" s="106"/>
      <c r="I20" s="106"/>
      <c r="J20" s="107"/>
      <c r="K20" s="52"/>
      <c r="L20" s="49"/>
      <c r="M20" s="49"/>
      <c r="N20">
        <v>16</v>
      </c>
      <c r="O20" s="77" t="s">
        <v>17</v>
      </c>
      <c r="P20" s="34" t="s">
        <v>82</v>
      </c>
      <c r="Q20" s="34">
        <v>131.63</v>
      </c>
    </row>
    <row r="21" spans="2:17" x14ac:dyDescent="0.35">
      <c r="B21" s="54" t="s">
        <v>112</v>
      </c>
      <c r="C21" s="51">
        <v>-10.9951851851852</v>
      </c>
      <c r="D21" s="109" t="s">
        <v>127</v>
      </c>
      <c r="E21" s="53"/>
      <c r="F21" s="53"/>
      <c r="G21" s="53"/>
      <c r="H21" s="53"/>
      <c r="I21" s="53"/>
      <c r="J21" s="53"/>
      <c r="K21" s="52"/>
      <c r="L21" s="49"/>
      <c r="M21" s="49"/>
      <c r="N21">
        <v>17</v>
      </c>
      <c r="O21" s="76" t="s">
        <v>18</v>
      </c>
      <c r="P21" s="33" t="s">
        <v>83</v>
      </c>
      <c r="Q21" s="33">
        <v>128.78</v>
      </c>
    </row>
    <row r="22" spans="2:17" x14ac:dyDescent="0.35">
      <c r="B22" s="54" t="s">
        <v>113</v>
      </c>
      <c r="C22" s="35">
        <v>13.706481481481484</v>
      </c>
      <c r="D22" s="110"/>
      <c r="N22">
        <v>18</v>
      </c>
      <c r="O22" s="77" t="s">
        <v>19</v>
      </c>
      <c r="P22" s="34" t="s">
        <v>84</v>
      </c>
      <c r="Q22" s="34">
        <v>87.85</v>
      </c>
    </row>
    <row r="23" spans="2:17" x14ac:dyDescent="0.35">
      <c r="B23" s="54" t="s">
        <v>114</v>
      </c>
      <c r="C23" s="46">
        <v>18.608425925925925</v>
      </c>
      <c r="D23" s="110"/>
      <c r="N23">
        <v>19</v>
      </c>
      <c r="O23" s="76" t="s">
        <v>20</v>
      </c>
      <c r="P23" s="33" t="s">
        <v>85</v>
      </c>
      <c r="Q23" s="33">
        <v>93.65</v>
      </c>
    </row>
    <row r="24" spans="2:17" x14ac:dyDescent="0.35">
      <c r="B24" s="54" t="s">
        <v>115</v>
      </c>
      <c r="C24" s="35">
        <v>31.621898148148151</v>
      </c>
      <c r="D24" s="110"/>
      <c r="N24">
        <v>20</v>
      </c>
      <c r="O24" s="77" t="s">
        <v>21</v>
      </c>
      <c r="P24" s="34" t="s">
        <v>86</v>
      </c>
      <c r="Q24" s="34">
        <v>99.41</v>
      </c>
    </row>
    <row r="25" spans="2:17" x14ac:dyDescent="0.35">
      <c r="B25" s="54" t="s">
        <v>116</v>
      </c>
      <c r="C25" s="46">
        <v>26.303148148148157</v>
      </c>
      <c r="D25" s="110"/>
      <c r="N25">
        <v>21</v>
      </c>
      <c r="O25" s="76" t="s">
        <v>22</v>
      </c>
      <c r="P25" s="33" t="s">
        <v>87</v>
      </c>
      <c r="Q25" s="33">
        <v>68.040000000000006</v>
      </c>
    </row>
    <row r="26" spans="2:17" x14ac:dyDescent="0.35">
      <c r="B26" s="54" t="s">
        <v>117</v>
      </c>
      <c r="C26" s="35">
        <v>12.197037037037035</v>
      </c>
      <c r="D26" s="110"/>
      <c r="N26">
        <v>22</v>
      </c>
      <c r="O26" s="77" t="s">
        <v>23</v>
      </c>
      <c r="P26" s="34" t="s">
        <v>88</v>
      </c>
      <c r="Q26" s="34">
        <v>69.459999999999994</v>
      </c>
    </row>
    <row r="27" spans="2:17" x14ac:dyDescent="0.35">
      <c r="B27" s="54" t="s">
        <v>118</v>
      </c>
      <c r="C27" s="47">
        <v>-5.7021296296296242</v>
      </c>
      <c r="D27" s="110"/>
      <c r="N27">
        <v>23</v>
      </c>
      <c r="O27" s="76" t="s">
        <v>24</v>
      </c>
      <c r="P27" s="33" t="s">
        <v>89</v>
      </c>
      <c r="Q27" s="33">
        <v>81.99</v>
      </c>
    </row>
    <row r="28" spans="2:17" x14ac:dyDescent="0.35">
      <c r="B28" s="54" t="s">
        <v>119</v>
      </c>
      <c r="C28" s="48">
        <v>-10.225185185185191</v>
      </c>
      <c r="D28" s="110"/>
      <c r="N28">
        <v>24</v>
      </c>
      <c r="O28" s="77" t="s">
        <v>25</v>
      </c>
      <c r="P28" s="34" t="s">
        <v>90</v>
      </c>
      <c r="Q28" s="34">
        <v>96.09</v>
      </c>
    </row>
    <row r="29" spans="2:17" x14ac:dyDescent="0.35">
      <c r="B29" s="54" t="s">
        <v>120</v>
      </c>
      <c r="C29" s="47">
        <v>-25.285324074074079</v>
      </c>
      <c r="D29" s="110"/>
      <c r="N29">
        <v>25</v>
      </c>
      <c r="O29" s="76" t="s">
        <v>26</v>
      </c>
      <c r="P29" s="33" t="s">
        <v>79</v>
      </c>
      <c r="Q29" s="33">
        <v>98.35</v>
      </c>
    </row>
    <row r="30" spans="2:17" x14ac:dyDescent="0.35">
      <c r="B30" s="54" t="s">
        <v>121</v>
      </c>
      <c r="C30" s="48">
        <v>-27.544351851851857</v>
      </c>
      <c r="D30" s="110"/>
      <c r="N30">
        <v>26</v>
      </c>
      <c r="O30" s="77" t="s">
        <v>27</v>
      </c>
      <c r="P30" s="34" t="s">
        <v>80</v>
      </c>
      <c r="Q30" s="34">
        <v>105.54</v>
      </c>
    </row>
    <row r="31" spans="2:17" x14ac:dyDescent="0.35">
      <c r="B31" s="54" t="s">
        <v>122</v>
      </c>
      <c r="C31" s="47">
        <v>-12.452407407407401</v>
      </c>
      <c r="D31" s="110"/>
      <c r="N31">
        <v>27</v>
      </c>
      <c r="O31" s="76" t="s">
        <v>28</v>
      </c>
      <c r="P31" s="33" t="s">
        <v>81</v>
      </c>
      <c r="Q31" s="33">
        <v>139.88999999999999</v>
      </c>
    </row>
    <row r="32" spans="2:17" x14ac:dyDescent="0.35">
      <c r="B32" s="54" t="s">
        <v>123</v>
      </c>
      <c r="C32" s="48">
        <v>-10.232407407407402</v>
      </c>
      <c r="D32" s="110"/>
      <c r="N32">
        <v>28</v>
      </c>
      <c r="O32" s="77" t="s">
        <v>29</v>
      </c>
      <c r="P32" s="34" t="s">
        <v>82</v>
      </c>
      <c r="Q32" s="34">
        <v>149.82</v>
      </c>
    </row>
    <row r="33" spans="2:19" x14ac:dyDescent="0.35">
      <c r="N33">
        <v>29</v>
      </c>
      <c r="O33" s="76" t="s">
        <v>30</v>
      </c>
      <c r="P33" s="33" t="s">
        <v>83</v>
      </c>
      <c r="Q33" s="33">
        <v>130.27000000000001</v>
      </c>
    </row>
    <row r="34" spans="2:19" x14ac:dyDescent="0.35">
      <c r="N34">
        <v>30</v>
      </c>
      <c r="O34" s="77" t="s">
        <v>31</v>
      </c>
      <c r="P34" s="34" t="s">
        <v>84</v>
      </c>
      <c r="Q34" s="34">
        <v>116.76</v>
      </c>
    </row>
    <row r="35" spans="2:19" ht="18" x14ac:dyDescent="0.35">
      <c r="B35" s="111" t="s">
        <v>136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>
        <v>31</v>
      </c>
      <c r="O35" s="76" t="s">
        <v>32</v>
      </c>
      <c r="P35" s="33" t="s">
        <v>85</v>
      </c>
      <c r="Q35" s="33">
        <v>90.51</v>
      </c>
    </row>
    <row r="36" spans="2:19" x14ac:dyDescent="0.35">
      <c r="B36" s="57" t="s">
        <v>128</v>
      </c>
      <c r="C36" s="73" t="s">
        <v>129</v>
      </c>
      <c r="D36" s="73"/>
      <c r="E36" s="73"/>
      <c r="F36" s="73"/>
      <c r="G36" s="73"/>
      <c r="H36" s="73"/>
      <c r="I36" s="73"/>
      <c r="J36" s="73"/>
      <c r="K36" s="73"/>
      <c r="L36" s="73"/>
      <c r="M36" s="73"/>
      <c r="N36">
        <v>32</v>
      </c>
      <c r="O36" s="77" t="s">
        <v>33</v>
      </c>
      <c r="P36" s="34" t="s">
        <v>86</v>
      </c>
      <c r="Q36" s="34">
        <v>75.739999999999995</v>
      </c>
    </row>
    <row r="37" spans="2:19" x14ac:dyDescent="0.35">
      <c r="B37" s="57" t="s">
        <v>130</v>
      </c>
      <c r="C37" s="73" t="s">
        <v>131</v>
      </c>
      <c r="D37" s="73"/>
      <c r="E37" s="73"/>
      <c r="F37" s="73"/>
      <c r="G37" s="73"/>
      <c r="H37" s="2">
        <v>0.1</v>
      </c>
      <c r="I37" s="73"/>
      <c r="J37" s="73"/>
      <c r="K37" s="73"/>
      <c r="L37" s="73"/>
      <c r="M37" s="73"/>
      <c r="N37">
        <v>33</v>
      </c>
      <c r="O37" s="76" t="s">
        <v>34</v>
      </c>
      <c r="P37" s="33" t="s">
        <v>87</v>
      </c>
      <c r="Q37" s="33">
        <v>81.96</v>
      </c>
    </row>
    <row r="38" spans="2:19" x14ac:dyDescent="0.35">
      <c r="B38" s="57" t="s">
        <v>132</v>
      </c>
      <c r="C38" s="73" t="s">
        <v>133</v>
      </c>
      <c r="D38" s="73"/>
      <c r="E38" s="73"/>
      <c r="F38" s="73"/>
      <c r="G38" s="73"/>
      <c r="H38" s="2">
        <v>0.1</v>
      </c>
      <c r="I38" s="73"/>
      <c r="J38" s="73"/>
      <c r="K38" s="73"/>
      <c r="L38" s="73"/>
      <c r="M38" s="73"/>
      <c r="N38">
        <v>34</v>
      </c>
      <c r="O38" s="77" t="s">
        <v>35</v>
      </c>
      <c r="P38" s="34" t="s">
        <v>88</v>
      </c>
      <c r="Q38" s="34">
        <v>79.64</v>
      </c>
    </row>
    <row r="39" spans="2:19" x14ac:dyDescent="0.35">
      <c r="B39" s="58" t="s">
        <v>134</v>
      </c>
      <c r="C39" s="74" t="s">
        <v>135</v>
      </c>
      <c r="D39" s="74"/>
      <c r="E39" s="74"/>
      <c r="F39" s="74"/>
      <c r="G39" s="74"/>
      <c r="H39" s="2">
        <v>0.2</v>
      </c>
      <c r="I39" s="74"/>
      <c r="J39" s="74"/>
      <c r="K39" s="74"/>
      <c r="L39" s="74"/>
      <c r="M39" s="74"/>
      <c r="N39">
        <v>35</v>
      </c>
      <c r="O39" s="76" t="s">
        <v>36</v>
      </c>
      <c r="P39" s="33" t="s">
        <v>89</v>
      </c>
      <c r="Q39" s="33">
        <v>97.01</v>
      </c>
    </row>
    <row r="40" spans="2:19" x14ac:dyDescent="0.35">
      <c r="N40">
        <v>36</v>
      </c>
      <c r="O40" s="77" t="s">
        <v>37</v>
      </c>
      <c r="P40" s="34" t="s">
        <v>90</v>
      </c>
      <c r="Q40" s="34">
        <v>95.05</v>
      </c>
    </row>
    <row r="41" spans="2:19" ht="23" x14ac:dyDescent="0.35">
      <c r="B41" s="60" t="s">
        <v>137</v>
      </c>
      <c r="C41" s="60" t="s">
        <v>0</v>
      </c>
      <c r="D41" s="60" t="s">
        <v>142</v>
      </c>
      <c r="E41" s="60" t="s">
        <v>138</v>
      </c>
      <c r="F41" s="60" t="s">
        <v>139</v>
      </c>
      <c r="G41" s="60" t="s">
        <v>140</v>
      </c>
      <c r="H41" s="61" t="s">
        <v>141</v>
      </c>
      <c r="I41" s="62" t="s">
        <v>194</v>
      </c>
      <c r="J41" s="81" t="s">
        <v>195</v>
      </c>
      <c r="K41" t="s">
        <v>196</v>
      </c>
      <c r="L41" t="s">
        <v>206</v>
      </c>
      <c r="N41">
        <v>37</v>
      </c>
      <c r="O41" s="76" t="s">
        <v>38</v>
      </c>
      <c r="P41" s="33" t="s">
        <v>79</v>
      </c>
      <c r="Q41" s="33">
        <v>84.99</v>
      </c>
      <c r="R41" s="69"/>
      <c r="S41" s="70"/>
    </row>
    <row r="42" spans="2:19" x14ac:dyDescent="0.35">
      <c r="B42">
        <v>1</v>
      </c>
      <c r="C42" s="71">
        <v>43831</v>
      </c>
      <c r="D42">
        <v>87.68</v>
      </c>
      <c r="E42" s="80">
        <f>C19</f>
        <v>100.73214539007093</v>
      </c>
      <c r="F42" s="80">
        <f>C20</f>
        <v>1.9750868432479255E-2</v>
      </c>
      <c r="G42">
        <f>$H$39*(D42-E42)+(1-$H$39)*K42</f>
        <v>-11.402429078014183</v>
      </c>
      <c r="H42" s="80">
        <f>E42+F42+G42</f>
        <v>89.349467180489228</v>
      </c>
      <c r="I42" s="80">
        <f>D42-H42</f>
        <v>-1.6694671804892209</v>
      </c>
      <c r="J42">
        <f>POWER(I42,2)</f>
        <v>2.7871206667306292</v>
      </c>
      <c r="K42">
        <v>-10.99</v>
      </c>
      <c r="L42">
        <f>ABS(I42)</f>
        <v>1.6694671804892209</v>
      </c>
      <c r="N42">
        <v>38</v>
      </c>
      <c r="O42" s="77" t="s">
        <v>39</v>
      </c>
      <c r="P42" s="34" t="s">
        <v>80</v>
      </c>
      <c r="Q42" s="34">
        <v>122.22</v>
      </c>
    </row>
    <row r="43" spans="2:19" x14ac:dyDescent="0.35">
      <c r="B43" s="64">
        <v>2</v>
      </c>
      <c r="C43" s="72">
        <v>43862</v>
      </c>
      <c r="D43" s="2">
        <v>119.79</v>
      </c>
      <c r="E43">
        <f>$H$37*(D43-K43)+(1-$H$37)*(E42+F42)</f>
        <v>101.28505848450492</v>
      </c>
      <c r="F43">
        <f>$H$38*(E43-E42)+(1-$H$38)*(F42)</f>
        <v>7.3067091032630302E-2</v>
      </c>
      <c r="G43">
        <f>$H$39*(D43-E43)+(1-$H$39)*K43</f>
        <v>14.666173488284207</v>
      </c>
      <c r="H43" s="80">
        <f t="shared" ref="H43:H89" si="0">E43+F43+G43</f>
        <v>116.02429906382174</v>
      </c>
      <c r="I43" s="80">
        <f t="shared" ref="I43:I89" si="1">D43-H43</f>
        <v>3.7657009361782627</v>
      </c>
      <c r="J43">
        <f t="shared" ref="J43:J89" si="2">POWER(I43,2)</f>
        <v>14.180503540733845</v>
      </c>
      <c r="K43" s="35">
        <v>13.706481481481484</v>
      </c>
      <c r="L43">
        <f t="shared" ref="L43:L89" si="3">ABS(I43)</f>
        <v>3.7657009361782627</v>
      </c>
      <c r="N43">
        <v>39</v>
      </c>
      <c r="O43" s="76" t="s">
        <v>40</v>
      </c>
      <c r="P43" s="33" t="s">
        <v>81</v>
      </c>
      <c r="Q43" s="33">
        <v>109.65</v>
      </c>
    </row>
    <row r="44" spans="2:19" x14ac:dyDescent="0.35">
      <c r="B44" s="63">
        <v>3</v>
      </c>
      <c r="C44" s="65" t="s">
        <v>145</v>
      </c>
      <c r="D44" s="2">
        <v>135.83000000000001</v>
      </c>
      <c r="E44">
        <f>$H$37*(D44-K44)+(1-$H$37)*(E43+F43)</f>
        <v>102.9444704253912</v>
      </c>
      <c r="F44">
        <f>$H$38*(E44-E43)+(1-$H$38)*(F43)</f>
        <v>0.23170157601799596</v>
      </c>
      <c r="G44">
        <f>$H$39*(D44-E44)+(1-$H$39)*K44</f>
        <v>21.463846655662504</v>
      </c>
      <c r="H44" s="80">
        <f t="shared" si="0"/>
        <v>124.64001865707171</v>
      </c>
      <c r="I44" s="80">
        <f t="shared" si="1"/>
        <v>11.189981342928306</v>
      </c>
      <c r="J44">
        <f t="shared" si="2"/>
        <v>125.21568245508357</v>
      </c>
      <c r="K44" s="46">
        <v>18.608425925925925</v>
      </c>
      <c r="L44">
        <f t="shared" si="3"/>
        <v>11.189981342928306</v>
      </c>
      <c r="N44">
        <v>40</v>
      </c>
      <c r="O44" s="77" t="s">
        <v>41</v>
      </c>
      <c r="P44" s="34" t="s">
        <v>82</v>
      </c>
      <c r="Q44" s="34">
        <v>117.89</v>
      </c>
    </row>
    <row r="45" spans="2:19" x14ac:dyDescent="0.35">
      <c r="B45" s="64">
        <v>4</v>
      </c>
      <c r="C45" s="66" t="s">
        <v>146</v>
      </c>
      <c r="D45" s="2">
        <v>107.86</v>
      </c>
      <c r="E45">
        <f t="shared" ref="E45:E53" si="4">$H$37*(D45-K45)+(1-$H$37)*(E44+F44)</f>
        <v>100.48236498645346</v>
      </c>
      <c r="F45">
        <f t="shared" ref="F45:F53" si="5">$H$38*(E45-E44)+(1-$H$38)*(F44)</f>
        <v>-3.767912547757768E-2</v>
      </c>
      <c r="G45">
        <f t="shared" ref="G45:G52" si="6">$H$39*(D45-E45)+(1-$H$39)*K45</f>
        <v>26.773045521227829</v>
      </c>
      <c r="H45" s="80">
        <f t="shared" si="0"/>
        <v>127.21773138220371</v>
      </c>
      <c r="I45" s="80">
        <f t="shared" si="1"/>
        <v>-19.35773138220371</v>
      </c>
      <c r="J45">
        <f t="shared" si="2"/>
        <v>374.72176426555433</v>
      </c>
      <c r="K45" s="35">
        <v>31.621898148148151</v>
      </c>
      <c r="L45">
        <f t="shared" si="3"/>
        <v>19.35773138220371</v>
      </c>
      <c r="N45">
        <v>41</v>
      </c>
      <c r="O45" s="76" t="s">
        <v>42</v>
      </c>
      <c r="P45" s="33" t="s">
        <v>83</v>
      </c>
      <c r="Q45" s="33">
        <v>125.38</v>
      </c>
    </row>
    <row r="46" spans="2:19" x14ac:dyDescent="0.35">
      <c r="B46" s="63">
        <v>5</v>
      </c>
      <c r="C46" s="65" t="s">
        <v>147</v>
      </c>
      <c r="D46" s="2">
        <v>124.99</v>
      </c>
      <c r="E46">
        <f t="shared" si="4"/>
        <v>100.26890246006349</v>
      </c>
      <c r="F46">
        <f t="shared" si="5"/>
        <v>-5.5257465568817415E-2</v>
      </c>
      <c r="G46">
        <f t="shared" si="6"/>
        <v>25.986738026505829</v>
      </c>
      <c r="H46" s="80">
        <f t="shared" si="0"/>
        <v>126.2003830210005</v>
      </c>
      <c r="I46" s="80">
        <f t="shared" si="1"/>
        <v>-1.21038302100051</v>
      </c>
      <c r="J46">
        <f t="shared" si="2"/>
        <v>1.4650270575263209</v>
      </c>
      <c r="K46" s="46">
        <v>26.303148148148157</v>
      </c>
      <c r="L46">
        <f t="shared" si="3"/>
        <v>1.21038302100051</v>
      </c>
      <c r="N46">
        <v>42</v>
      </c>
      <c r="O46" s="77" t="s">
        <v>43</v>
      </c>
      <c r="P46" s="34" t="s">
        <v>84</v>
      </c>
      <c r="Q46" s="34">
        <v>138.22</v>
      </c>
    </row>
    <row r="47" spans="2:19" x14ac:dyDescent="0.35">
      <c r="B47" s="64">
        <v>6</v>
      </c>
      <c r="C47" s="66" t="s">
        <v>148</v>
      </c>
      <c r="D47" s="2">
        <v>105.73</v>
      </c>
      <c r="E47">
        <f t="shared" si="4"/>
        <v>99.545576791341503</v>
      </c>
      <c r="F47">
        <f t="shared" si="5"/>
        <v>-0.12206428588413404</v>
      </c>
      <c r="G47">
        <f t="shared" si="6"/>
        <v>10.994514271361329</v>
      </c>
      <c r="H47" s="80">
        <f t="shared" si="0"/>
        <v>110.41802677681869</v>
      </c>
      <c r="I47" s="80">
        <f t="shared" si="1"/>
        <v>-4.6880267768186883</v>
      </c>
      <c r="J47">
        <f t="shared" si="2"/>
        <v>21.977595060169019</v>
      </c>
      <c r="K47" s="35">
        <v>12.197037037037035</v>
      </c>
      <c r="L47">
        <f t="shared" si="3"/>
        <v>4.6880267768186883</v>
      </c>
      <c r="N47">
        <v>43</v>
      </c>
      <c r="O47" s="76" t="s">
        <v>44</v>
      </c>
      <c r="P47" s="33" t="s">
        <v>85</v>
      </c>
      <c r="Q47" s="33">
        <v>136.47999999999999</v>
      </c>
    </row>
    <row r="48" spans="2:19" x14ac:dyDescent="0.35">
      <c r="B48" s="63">
        <v>7</v>
      </c>
      <c r="C48" s="65" t="s">
        <v>149</v>
      </c>
      <c r="D48" s="2">
        <v>97.73</v>
      </c>
      <c r="E48">
        <f t="shared" si="4"/>
        <v>99.824374217874592</v>
      </c>
      <c r="F48">
        <f t="shared" si="5"/>
        <v>-8.1978114642411753E-2</v>
      </c>
      <c r="G48">
        <f t="shared" si="6"/>
        <v>-4.9805785472786166</v>
      </c>
      <c r="H48" s="80">
        <f t="shared" si="0"/>
        <v>94.76181755595357</v>
      </c>
      <c r="I48" s="80">
        <f t="shared" si="1"/>
        <v>2.9681824440464339</v>
      </c>
      <c r="J48">
        <f t="shared" si="2"/>
        <v>8.8101070211454626</v>
      </c>
      <c r="K48" s="47">
        <v>-5.7021296296296242</v>
      </c>
      <c r="L48">
        <f t="shared" si="3"/>
        <v>2.9681824440464339</v>
      </c>
      <c r="N48">
        <v>44</v>
      </c>
      <c r="O48" s="77" t="s">
        <v>45</v>
      </c>
      <c r="P48" s="34" t="s">
        <v>86</v>
      </c>
      <c r="Q48" s="34">
        <v>89.57</v>
      </c>
    </row>
    <row r="49" spans="2:17" x14ac:dyDescent="0.35">
      <c r="B49" s="64">
        <v>8</v>
      </c>
      <c r="C49" s="66" t="s">
        <v>150</v>
      </c>
      <c r="D49" s="2">
        <v>93.16</v>
      </c>
      <c r="E49">
        <f t="shared" si="4"/>
        <v>100.10667501142748</v>
      </c>
      <c r="F49">
        <f t="shared" si="5"/>
        <v>-4.5550223822881375E-2</v>
      </c>
      <c r="G49">
        <f t="shared" si="6"/>
        <v>-9.5694831504336513</v>
      </c>
      <c r="H49" s="80">
        <f t="shared" si="0"/>
        <v>90.491641637170943</v>
      </c>
      <c r="I49" s="80">
        <f t="shared" si="1"/>
        <v>2.6683583628290535</v>
      </c>
      <c r="J49">
        <f t="shared" si="2"/>
        <v>7.1201363524797463</v>
      </c>
      <c r="K49" s="48">
        <v>-10.225185185185191</v>
      </c>
      <c r="L49">
        <f t="shared" si="3"/>
        <v>2.6683583628290535</v>
      </c>
      <c r="N49">
        <v>45</v>
      </c>
      <c r="O49" s="76" t="s">
        <v>46</v>
      </c>
      <c r="P49" s="33" t="s">
        <v>87</v>
      </c>
      <c r="Q49" s="33">
        <v>76.55</v>
      </c>
    </row>
    <row r="50" spans="2:17" x14ac:dyDescent="0.35">
      <c r="B50" s="63">
        <v>9</v>
      </c>
      <c r="C50" s="65" t="s">
        <v>151</v>
      </c>
      <c r="D50" s="2">
        <v>72.14</v>
      </c>
      <c r="E50">
        <f t="shared" si="4"/>
        <v>99.797544716251551</v>
      </c>
      <c r="F50">
        <f t="shared" si="5"/>
        <v>-7.1908230958186548E-2</v>
      </c>
      <c r="G50">
        <f t="shared" si="6"/>
        <v>-25.759768202509576</v>
      </c>
      <c r="H50" s="80">
        <f t="shared" si="0"/>
        <v>73.965868282783788</v>
      </c>
      <c r="I50" s="80">
        <f t="shared" si="1"/>
        <v>-1.8258682827837873</v>
      </c>
      <c r="J50">
        <f t="shared" si="2"/>
        <v>3.3337949860758163</v>
      </c>
      <c r="K50" s="47">
        <v>-25.285324074074079</v>
      </c>
      <c r="L50">
        <f t="shared" si="3"/>
        <v>1.8258682827837873</v>
      </c>
      <c r="N50">
        <v>46</v>
      </c>
      <c r="O50" s="77" t="s">
        <v>47</v>
      </c>
      <c r="P50" s="34" t="s">
        <v>88</v>
      </c>
      <c r="Q50" s="34">
        <v>82.29</v>
      </c>
    </row>
    <row r="51" spans="2:17" x14ac:dyDescent="0.35">
      <c r="B51" s="64">
        <v>10</v>
      </c>
      <c r="C51" s="66" t="s">
        <v>152</v>
      </c>
      <c r="D51" s="2">
        <v>65.59</v>
      </c>
      <c r="E51">
        <f t="shared" si="4"/>
        <v>99.066508021949218</v>
      </c>
      <c r="F51">
        <f t="shared" si="5"/>
        <v>-0.13782107729260115</v>
      </c>
      <c r="G51">
        <f t="shared" si="6"/>
        <v>-28.73078308587133</v>
      </c>
      <c r="H51" s="80">
        <f t="shared" si="0"/>
        <v>70.197903858785281</v>
      </c>
      <c r="I51" s="80">
        <f t="shared" si="1"/>
        <v>-4.6079038587852779</v>
      </c>
      <c r="J51">
        <f t="shared" si="2"/>
        <v>21.232777971808254</v>
      </c>
      <c r="K51" s="48">
        <v>-27.544351851851857</v>
      </c>
      <c r="L51">
        <f t="shared" si="3"/>
        <v>4.6079038587852779</v>
      </c>
      <c r="N51">
        <v>47</v>
      </c>
      <c r="O51" s="76" t="s">
        <v>48</v>
      </c>
      <c r="P51" s="33" t="s">
        <v>89</v>
      </c>
      <c r="Q51" s="33">
        <v>89.81</v>
      </c>
    </row>
    <row r="52" spans="2:17" x14ac:dyDescent="0.35">
      <c r="B52" s="63">
        <v>11</v>
      </c>
      <c r="C52" s="65" t="s">
        <v>153</v>
      </c>
      <c r="D52" s="2">
        <v>81.400000000000006</v>
      </c>
      <c r="E52">
        <f t="shared" si="4"/>
        <v>98.421058990931698</v>
      </c>
      <c r="F52">
        <f t="shared" si="5"/>
        <v>-0.18858387266509308</v>
      </c>
      <c r="G52">
        <f t="shared" si="6"/>
        <v>-13.36613772411226</v>
      </c>
      <c r="H52" s="80">
        <f t="shared" si="0"/>
        <v>84.866337394154343</v>
      </c>
      <c r="I52" s="80">
        <f t="shared" si="1"/>
        <v>-3.4663373941543369</v>
      </c>
      <c r="J52">
        <f t="shared" si="2"/>
        <v>12.015494930112679</v>
      </c>
      <c r="K52" s="47">
        <v>-12.452407407407401</v>
      </c>
      <c r="L52">
        <f t="shared" si="3"/>
        <v>3.4663373941543369</v>
      </c>
      <c r="N52">
        <v>48</v>
      </c>
      <c r="O52" s="78" t="s">
        <v>49</v>
      </c>
      <c r="P52" s="34" t="s">
        <v>90</v>
      </c>
      <c r="Q52" s="79">
        <v>86.12</v>
      </c>
    </row>
    <row r="53" spans="2:17" x14ac:dyDescent="0.35">
      <c r="B53" s="64">
        <v>12</v>
      </c>
      <c r="C53" s="66" t="s">
        <v>154</v>
      </c>
      <c r="D53" s="2">
        <v>77.290000000000006</v>
      </c>
      <c r="E53">
        <f t="shared" si="4"/>
        <v>97.161468347180687</v>
      </c>
      <c r="F53">
        <f t="shared" si="5"/>
        <v>-0.29568454977368486</v>
      </c>
      <c r="G53">
        <f>$H$39*(D53-E53)+(1-$H$39)*K53</f>
        <v>-12.160219595362058</v>
      </c>
      <c r="H53" s="80">
        <f t="shared" si="0"/>
        <v>84.70556420204494</v>
      </c>
      <c r="I53" s="80">
        <f t="shared" si="1"/>
        <v>-7.4155642020449335</v>
      </c>
      <c r="J53">
        <f t="shared" si="2"/>
        <v>54.99059243465031</v>
      </c>
      <c r="K53" s="48">
        <v>-10.232407407407402</v>
      </c>
      <c r="L53">
        <f t="shared" si="3"/>
        <v>7.4155642020449335</v>
      </c>
    </row>
    <row r="54" spans="2:17" x14ac:dyDescent="0.35">
      <c r="B54" s="63">
        <v>13</v>
      </c>
      <c r="C54" s="65" t="s">
        <v>155</v>
      </c>
      <c r="D54" s="2">
        <v>85.77</v>
      </c>
      <c r="E54">
        <f t="shared" ref="E54:E89" si="7">$H$37*(D54-K54)+(1-$H$37)*(E53+F53)</f>
        <v>96.855205417666312</v>
      </c>
      <c r="F54">
        <f t="shared" ref="F54:F89" si="8">$H$38*(E54-E53)+(1-$H$38)*(F53)</f>
        <v>-0.29674238774775386</v>
      </c>
      <c r="G54">
        <f t="shared" ref="G54:G89" si="9">$H$39*(D54-E54)+(1-$H$39)*K54</f>
        <v>-11.009041083533264</v>
      </c>
      <c r="H54" s="80">
        <f t="shared" si="0"/>
        <v>85.549421946385294</v>
      </c>
      <c r="I54" s="80">
        <f t="shared" si="1"/>
        <v>0.22057805361470173</v>
      </c>
      <c r="J54">
        <f t="shared" si="2"/>
        <v>4.8654677736450228E-2</v>
      </c>
      <c r="K54">
        <v>-10.99</v>
      </c>
      <c r="L54">
        <f t="shared" si="3"/>
        <v>0.22057805361470173</v>
      </c>
    </row>
    <row r="55" spans="2:17" x14ac:dyDescent="0.35">
      <c r="B55" s="64">
        <v>14</v>
      </c>
      <c r="C55" s="66" t="s">
        <v>156</v>
      </c>
      <c r="D55" s="2">
        <v>116.92</v>
      </c>
      <c r="E55">
        <f t="shared" si="7"/>
        <v>97.223968578778567</v>
      </c>
      <c r="F55">
        <f t="shared" si="8"/>
        <v>-0.23019183286175293</v>
      </c>
      <c r="G55">
        <f t="shared" si="9"/>
        <v>14.904391469429475</v>
      </c>
      <c r="H55" s="80">
        <f t="shared" si="0"/>
        <v>111.89816821534629</v>
      </c>
      <c r="I55" s="80">
        <f t="shared" si="1"/>
        <v>5.0218317846537133</v>
      </c>
      <c r="J55">
        <f t="shared" si="2"/>
        <v>25.218794473358297</v>
      </c>
      <c r="K55" s="35">
        <v>13.706481481481484</v>
      </c>
      <c r="L55">
        <f t="shared" si="3"/>
        <v>5.0218317846537133</v>
      </c>
    </row>
    <row r="56" spans="2:17" x14ac:dyDescent="0.35">
      <c r="B56" s="63">
        <v>15</v>
      </c>
      <c r="C56" s="65" t="s">
        <v>157</v>
      </c>
      <c r="D56" s="2">
        <v>109.88</v>
      </c>
      <c r="E56">
        <f t="shared" si="7"/>
        <v>96.421556478732555</v>
      </c>
      <c r="F56">
        <f t="shared" si="8"/>
        <v>-0.28741385958017895</v>
      </c>
      <c r="G56">
        <f t="shared" si="9"/>
        <v>17.578429444994228</v>
      </c>
      <c r="H56" s="80">
        <f t="shared" si="0"/>
        <v>113.7125720641466</v>
      </c>
      <c r="I56" s="80">
        <f t="shared" si="1"/>
        <v>-3.8325720641466035</v>
      </c>
      <c r="J56">
        <f t="shared" si="2"/>
        <v>14.688608626876956</v>
      </c>
      <c r="K56" s="46">
        <v>18.608425925925925</v>
      </c>
      <c r="L56">
        <f t="shared" si="3"/>
        <v>3.8325720641466035</v>
      </c>
    </row>
    <row r="57" spans="2:17" x14ac:dyDescent="0.35">
      <c r="B57" s="64">
        <v>16</v>
      </c>
      <c r="C57" s="66" t="s">
        <v>158</v>
      </c>
      <c r="D57" s="2">
        <v>131.63</v>
      </c>
      <c r="E57">
        <f t="shared" si="7"/>
        <v>96.52153854242232</v>
      </c>
      <c r="F57">
        <f t="shared" si="8"/>
        <v>-0.24867426725318453</v>
      </c>
      <c r="G57">
        <f t="shared" si="9"/>
        <v>32.319210810034058</v>
      </c>
      <c r="H57" s="80">
        <f t="shared" si="0"/>
        <v>128.59207508520319</v>
      </c>
      <c r="I57" s="80">
        <f t="shared" si="1"/>
        <v>3.0379249147968039</v>
      </c>
      <c r="J57">
        <f t="shared" si="2"/>
        <v>9.2289877879431685</v>
      </c>
      <c r="K57" s="35">
        <v>31.621898148148151</v>
      </c>
      <c r="L57">
        <f t="shared" si="3"/>
        <v>3.0379249147968039</v>
      </c>
    </row>
    <row r="58" spans="2:17" x14ac:dyDescent="0.35">
      <c r="B58" s="63">
        <v>17</v>
      </c>
      <c r="C58" s="65" t="s">
        <v>159</v>
      </c>
      <c r="D58" s="2">
        <v>128.78</v>
      </c>
      <c r="E58">
        <f t="shared" si="7"/>
        <v>96.893263032837424</v>
      </c>
      <c r="F58">
        <f t="shared" si="8"/>
        <v>-0.18663439148635563</v>
      </c>
      <c r="G58">
        <f t="shared" si="9"/>
        <v>27.419865911951042</v>
      </c>
      <c r="H58" s="80">
        <f t="shared" si="0"/>
        <v>124.12649455330211</v>
      </c>
      <c r="I58" s="80">
        <f t="shared" si="1"/>
        <v>4.653505446697892</v>
      </c>
      <c r="J58">
        <f t="shared" si="2"/>
        <v>21.655112942446948</v>
      </c>
      <c r="K58" s="46">
        <v>26.303148148148157</v>
      </c>
      <c r="L58">
        <f t="shared" si="3"/>
        <v>4.653505446697892</v>
      </c>
    </row>
    <row r="59" spans="2:17" x14ac:dyDescent="0.35">
      <c r="B59" s="64">
        <v>18</v>
      </c>
      <c r="C59" s="66" t="s">
        <v>160</v>
      </c>
      <c r="D59" s="2">
        <v>87.85</v>
      </c>
      <c r="E59">
        <f t="shared" si="7"/>
        <v>94.60126207351226</v>
      </c>
      <c r="F59">
        <f t="shared" si="8"/>
        <v>-0.39717104827023658</v>
      </c>
      <c r="G59">
        <f t="shared" si="9"/>
        <v>8.407377214927175</v>
      </c>
      <c r="H59" s="80">
        <f t="shared" si="0"/>
        <v>102.6114682401692</v>
      </c>
      <c r="I59" s="80">
        <f t="shared" si="1"/>
        <v>-14.761468240169208</v>
      </c>
      <c r="J59">
        <f t="shared" si="2"/>
        <v>217.90094460552422</v>
      </c>
      <c r="K59" s="35">
        <v>12.197037037037035</v>
      </c>
      <c r="L59">
        <f t="shared" si="3"/>
        <v>14.761468240169208</v>
      </c>
    </row>
    <row r="60" spans="2:17" x14ac:dyDescent="0.35">
      <c r="B60" s="63">
        <v>19</v>
      </c>
      <c r="C60" s="65" t="s">
        <v>161</v>
      </c>
      <c r="D60" s="2">
        <v>93.65</v>
      </c>
      <c r="E60">
        <f t="shared" si="7"/>
        <v>94.718894885680783</v>
      </c>
      <c r="F60">
        <f t="shared" si="8"/>
        <v>-0.34569066222636058</v>
      </c>
      <c r="G60">
        <f t="shared" si="9"/>
        <v>-4.7754826808398549</v>
      </c>
      <c r="H60" s="80">
        <f t="shared" si="0"/>
        <v>89.597721542614565</v>
      </c>
      <c r="I60" s="80">
        <f t="shared" si="1"/>
        <v>4.0522784573854409</v>
      </c>
      <c r="J60">
        <f t="shared" si="2"/>
        <v>16.420960696190129</v>
      </c>
      <c r="K60" s="47">
        <v>-5.7021296296296242</v>
      </c>
      <c r="L60">
        <f t="shared" si="3"/>
        <v>4.0522784573854409</v>
      </c>
    </row>
    <row r="61" spans="2:17" x14ac:dyDescent="0.35">
      <c r="B61" s="64">
        <v>20</v>
      </c>
      <c r="C61" s="66" t="s">
        <v>162</v>
      </c>
      <c r="D61" s="2">
        <v>99.41</v>
      </c>
      <c r="E61">
        <f t="shared" si="7"/>
        <v>95.899402319627512</v>
      </c>
      <c r="F61">
        <f t="shared" si="8"/>
        <v>-0.19307085260905155</v>
      </c>
      <c r="G61">
        <f t="shared" si="9"/>
        <v>-7.4780286120736577</v>
      </c>
      <c r="H61" s="80">
        <f t="shared" si="0"/>
        <v>88.228302854944801</v>
      </c>
      <c r="I61" s="80">
        <f t="shared" si="1"/>
        <v>11.181697145055196</v>
      </c>
      <c r="J61">
        <f t="shared" si="2"/>
        <v>125.03035104373552</v>
      </c>
      <c r="K61" s="48">
        <v>-10.225185185185191</v>
      </c>
      <c r="L61">
        <f t="shared" si="3"/>
        <v>11.181697145055196</v>
      </c>
    </row>
    <row r="62" spans="2:17" x14ac:dyDescent="0.35">
      <c r="B62" s="63">
        <v>21</v>
      </c>
      <c r="C62" s="65" t="s">
        <v>163</v>
      </c>
      <c r="D62" s="2">
        <v>68.040000000000006</v>
      </c>
      <c r="E62">
        <f t="shared" si="7"/>
        <v>95.468230727724034</v>
      </c>
      <c r="F62">
        <f t="shared" si="8"/>
        <v>-0.21688092653849422</v>
      </c>
      <c r="G62">
        <f t="shared" si="9"/>
        <v>-25.71390540480407</v>
      </c>
      <c r="H62" s="80">
        <f t="shared" si="0"/>
        <v>69.537444396381474</v>
      </c>
      <c r="I62" s="80">
        <f t="shared" si="1"/>
        <v>-1.4974443963814679</v>
      </c>
      <c r="J62">
        <f t="shared" si="2"/>
        <v>2.2423397202542588</v>
      </c>
      <c r="K62" s="47">
        <v>-25.285324074074079</v>
      </c>
      <c r="L62">
        <f t="shared" si="3"/>
        <v>1.4974443963814679</v>
      </c>
    </row>
    <row r="63" spans="2:17" x14ac:dyDescent="0.35">
      <c r="B63" s="64">
        <v>22</v>
      </c>
      <c r="C63" s="66" t="s">
        <v>164</v>
      </c>
      <c r="D63" s="2">
        <v>69.459999999999994</v>
      </c>
      <c r="E63">
        <f t="shared" si="7"/>
        <v>95.426650006252174</v>
      </c>
      <c r="F63">
        <f t="shared" si="8"/>
        <v>-0.19935090603183078</v>
      </c>
      <c r="G63">
        <f t="shared" si="9"/>
        <v>-27.228811482731924</v>
      </c>
      <c r="H63" s="80">
        <f t="shared" si="0"/>
        <v>67.998487617488422</v>
      </c>
      <c r="I63" s="80">
        <f t="shared" si="1"/>
        <v>1.4615123825115717</v>
      </c>
      <c r="J63">
        <f t="shared" si="2"/>
        <v>2.1360184442346504</v>
      </c>
      <c r="K63" s="48">
        <v>-27.544351851851857</v>
      </c>
      <c r="L63">
        <f t="shared" si="3"/>
        <v>1.4615123825115717</v>
      </c>
    </row>
    <row r="64" spans="2:17" x14ac:dyDescent="0.35">
      <c r="B64" s="63">
        <v>23</v>
      </c>
      <c r="C64" s="65" t="s">
        <v>165</v>
      </c>
      <c r="D64" s="2">
        <v>81.99</v>
      </c>
      <c r="E64">
        <f t="shared" si="7"/>
        <v>95.148809930939052</v>
      </c>
      <c r="F64">
        <f t="shared" si="8"/>
        <v>-0.20719982295995992</v>
      </c>
      <c r="G64">
        <f t="shared" si="9"/>
        <v>-12.593687912113733</v>
      </c>
      <c r="H64" s="80">
        <f t="shared" si="0"/>
        <v>82.347922195865351</v>
      </c>
      <c r="I64" s="80">
        <f t="shared" si="1"/>
        <v>-0.35792219586535623</v>
      </c>
      <c r="J64">
        <f t="shared" si="2"/>
        <v>0.12810829829307843</v>
      </c>
      <c r="K64" s="47">
        <v>-12.452407407407401</v>
      </c>
      <c r="L64">
        <f t="shared" si="3"/>
        <v>0.35792219586535623</v>
      </c>
    </row>
    <row r="65" spans="2:12" x14ac:dyDescent="0.35">
      <c r="B65" s="64">
        <v>24</v>
      </c>
      <c r="C65" s="66" t="s">
        <v>166</v>
      </c>
      <c r="D65" s="2">
        <v>96.09</v>
      </c>
      <c r="E65">
        <f t="shared" si="7"/>
        <v>96.079689837921919</v>
      </c>
      <c r="F65">
        <f t="shared" si="8"/>
        <v>-9.3391849965677287E-2</v>
      </c>
      <c r="G65">
        <f t="shared" si="9"/>
        <v>-8.1838638935103045</v>
      </c>
      <c r="H65" s="80">
        <f t="shared" si="0"/>
        <v>87.802434094445928</v>
      </c>
      <c r="I65" s="80">
        <f t="shared" si="1"/>
        <v>8.2875659055540751</v>
      </c>
      <c r="J65">
        <f t="shared" si="2"/>
        <v>68.683748638902344</v>
      </c>
      <c r="K65" s="48">
        <v>-10.232407407407402</v>
      </c>
      <c r="L65">
        <f t="shared" si="3"/>
        <v>8.2875659055540751</v>
      </c>
    </row>
    <row r="66" spans="2:12" x14ac:dyDescent="0.35">
      <c r="B66" s="63">
        <v>25</v>
      </c>
      <c r="C66" s="65" t="s">
        <v>167</v>
      </c>
      <c r="D66" s="2">
        <v>98.35</v>
      </c>
      <c r="E66">
        <f t="shared" si="7"/>
        <v>97.321668189160604</v>
      </c>
      <c r="F66">
        <f t="shared" si="8"/>
        <v>4.0145170154759019E-2</v>
      </c>
      <c r="G66">
        <f t="shared" si="9"/>
        <v>-8.5863336378321211</v>
      </c>
      <c r="H66" s="80">
        <f t="shared" si="0"/>
        <v>88.775479721483237</v>
      </c>
      <c r="I66" s="80">
        <f t="shared" si="1"/>
        <v>9.5745202785167578</v>
      </c>
      <c r="J66">
        <f t="shared" si="2"/>
        <v>91.671438563728614</v>
      </c>
      <c r="K66">
        <v>-10.99</v>
      </c>
      <c r="L66">
        <f t="shared" si="3"/>
        <v>9.5745202785167578</v>
      </c>
    </row>
    <row r="67" spans="2:12" x14ac:dyDescent="0.35">
      <c r="B67" s="64">
        <v>26</v>
      </c>
      <c r="C67" s="66" t="s">
        <v>168</v>
      </c>
      <c r="D67" s="2">
        <v>105.54</v>
      </c>
      <c r="E67">
        <f t="shared" si="7"/>
        <v>96.808983875235683</v>
      </c>
      <c r="F67">
        <f t="shared" si="8"/>
        <v>-1.5137778253209062E-2</v>
      </c>
      <c r="G67">
        <f t="shared" si="9"/>
        <v>12.711388410138053</v>
      </c>
      <c r="H67" s="80">
        <f t="shared" si="0"/>
        <v>109.50523450712053</v>
      </c>
      <c r="I67" s="80">
        <f t="shared" si="1"/>
        <v>-3.9652345071205275</v>
      </c>
      <c r="J67">
        <f t="shared" si="2"/>
        <v>15.723084696459372</v>
      </c>
      <c r="K67" s="35">
        <v>13.706481481481484</v>
      </c>
      <c r="L67">
        <f t="shared" si="3"/>
        <v>3.9652345071205275</v>
      </c>
    </row>
    <row r="68" spans="2:12" x14ac:dyDescent="0.35">
      <c r="B68" s="63">
        <v>27</v>
      </c>
      <c r="C68" s="65" t="s">
        <v>169</v>
      </c>
      <c r="D68" s="2">
        <v>139.88999999999999</v>
      </c>
      <c r="E68">
        <f t="shared" si="7"/>
        <v>99.242618894691645</v>
      </c>
      <c r="F68">
        <f t="shared" si="8"/>
        <v>0.22973950151770814</v>
      </c>
      <c r="G68">
        <f t="shared" si="9"/>
        <v>23.01621696180241</v>
      </c>
      <c r="H68" s="80">
        <f t="shared" si="0"/>
        <v>122.48857535801177</v>
      </c>
      <c r="I68" s="80">
        <f t="shared" si="1"/>
        <v>17.401424641988214</v>
      </c>
      <c r="J68">
        <f t="shared" si="2"/>
        <v>302.80957957079465</v>
      </c>
      <c r="K68" s="46">
        <v>18.608425925925925</v>
      </c>
      <c r="L68">
        <f t="shared" si="3"/>
        <v>17.401424641988214</v>
      </c>
    </row>
    <row r="69" spans="2:12" x14ac:dyDescent="0.35">
      <c r="B69" s="64">
        <v>28</v>
      </c>
      <c r="C69" s="66" t="s">
        <v>170</v>
      </c>
      <c r="D69" s="2">
        <v>149.82</v>
      </c>
      <c r="E69">
        <f t="shared" si="7"/>
        <v>101.34493274177362</v>
      </c>
      <c r="F69">
        <f t="shared" si="8"/>
        <v>0.41699693607413468</v>
      </c>
      <c r="G69">
        <f t="shared" si="9"/>
        <v>34.992531970163796</v>
      </c>
      <c r="H69" s="80">
        <f t="shared" si="0"/>
        <v>136.75446164801156</v>
      </c>
      <c r="I69" s="80">
        <f t="shared" si="1"/>
        <v>13.065538351988437</v>
      </c>
      <c r="J69">
        <f t="shared" si="2"/>
        <v>170.70829242728072</v>
      </c>
      <c r="K69" s="35">
        <v>31.621898148148151</v>
      </c>
      <c r="L69">
        <f t="shared" si="3"/>
        <v>13.065538351988437</v>
      </c>
    </row>
    <row r="70" spans="2:12" x14ac:dyDescent="0.35">
      <c r="B70" s="63">
        <v>29</v>
      </c>
      <c r="C70" s="65" t="s">
        <v>171</v>
      </c>
      <c r="D70" s="2">
        <v>130.27000000000001</v>
      </c>
      <c r="E70">
        <f t="shared" si="7"/>
        <v>101.98242189524817</v>
      </c>
      <c r="F70">
        <f t="shared" si="8"/>
        <v>0.439046157814176</v>
      </c>
      <c r="G70">
        <f t="shared" si="9"/>
        <v>26.700034139468897</v>
      </c>
      <c r="H70" s="80">
        <f t="shared" si="0"/>
        <v>129.12150219253124</v>
      </c>
      <c r="I70" s="80">
        <f t="shared" si="1"/>
        <v>1.1484978074687717</v>
      </c>
      <c r="J70">
        <f t="shared" si="2"/>
        <v>1.3190472137605758</v>
      </c>
      <c r="K70" s="46">
        <v>26.303148148148157</v>
      </c>
      <c r="L70">
        <f t="shared" si="3"/>
        <v>1.1484978074687717</v>
      </c>
    </row>
    <row r="71" spans="2:12" x14ac:dyDescent="0.35">
      <c r="B71" s="64">
        <v>30</v>
      </c>
      <c r="C71" s="66" t="s">
        <v>172</v>
      </c>
      <c r="D71" s="2">
        <v>116.76</v>
      </c>
      <c r="E71">
        <f t="shared" si="7"/>
        <v>102.63561754405241</v>
      </c>
      <c r="F71">
        <f t="shared" si="8"/>
        <v>0.46046110691318265</v>
      </c>
      <c r="G71">
        <f t="shared" si="9"/>
        <v>12.582506120819147</v>
      </c>
      <c r="H71" s="80">
        <f t="shared" si="0"/>
        <v>115.67858477178474</v>
      </c>
      <c r="I71" s="80">
        <f t="shared" si="1"/>
        <v>1.0814152282152634</v>
      </c>
      <c r="J71">
        <f t="shared" si="2"/>
        <v>1.1694588958158703</v>
      </c>
      <c r="K71" s="35">
        <v>12.197037037037035</v>
      </c>
      <c r="L71">
        <f t="shared" si="3"/>
        <v>1.0814152282152634</v>
      </c>
    </row>
    <row r="72" spans="2:12" x14ac:dyDescent="0.35">
      <c r="B72" s="63">
        <v>31</v>
      </c>
      <c r="C72" s="65" t="s">
        <v>173</v>
      </c>
      <c r="D72" s="2">
        <v>90.51</v>
      </c>
      <c r="E72">
        <f t="shared" si="7"/>
        <v>102.407683748832</v>
      </c>
      <c r="F72">
        <f t="shared" si="8"/>
        <v>0.39162161669982354</v>
      </c>
      <c r="G72">
        <f t="shared" si="9"/>
        <v>-6.9412404534700984</v>
      </c>
      <c r="H72" s="80">
        <f t="shared" si="0"/>
        <v>95.858064912061721</v>
      </c>
      <c r="I72" s="80">
        <f t="shared" si="1"/>
        <v>-5.3480649120617159</v>
      </c>
      <c r="J72">
        <f t="shared" si="2"/>
        <v>28.601798303625689</v>
      </c>
      <c r="K72" s="47">
        <v>-5.7021296296296242</v>
      </c>
      <c r="L72">
        <f t="shared" si="3"/>
        <v>5.3480649120617159</v>
      </c>
    </row>
    <row r="73" spans="2:12" x14ac:dyDescent="0.35">
      <c r="B73" s="64">
        <v>32</v>
      </c>
      <c r="C73" s="66" t="s">
        <v>174</v>
      </c>
      <c r="D73" s="2">
        <v>75.739999999999995</v>
      </c>
      <c r="E73">
        <f t="shared" si="7"/>
        <v>101.11589334749716</v>
      </c>
      <c r="F73">
        <f t="shared" si="8"/>
        <v>0.22328041489635758</v>
      </c>
      <c r="G73">
        <f t="shared" si="9"/>
        <v>-13.255326817647589</v>
      </c>
      <c r="H73" s="80">
        <f t="shared" si="0"/>
        <v>88.083846944745929</v>
      </c>
      <c r="I73" s="80">
        <f t="shared" si="1"/>
        <v>-12.343846944745934</v>
      </c>
      <c r="J73">
        <f t="shared" si="2"/>
        <v>152.37055739531354</v>
      </c>
      <c r="K73" s="48">
        <v>-10.225185185185191</v>
      </c>
      <c r="L73">
        <f t="shared" si="3"/>
        <v>12.343846944745934</v>
      </c>
    </row>
    <row r="74" spans="2:12" x14ac:dyDescent="0.35">
      <c r="B74" s="63">
        <v>33</v>
      </c>
      <c r="C74" s="65" t="s">
        <v>175</v>
      </c>
      <c r="D74" s="2">
        <v>81.96</v>
      </c>
      <c r="E74">
        <f t="shared" si="7"/>
        <v>101.92978879356157</v>
      </c>
      <c r="F74">
        <f t="shared" si="8"/>
        <v>0.28234191801316255</v>
      </c>
      <c r="G74">
        <f t="shared" si="9"/>
        <v>-24.22221701797158</v>
      </c>
      <c r="H74" s="80">
        <f t="shared" si="0"/>
        <v>77.989913693603143</v>
      </c>
      <c r="I74" s="80">
        <f t="shared" si="1"/>
        <v>3.9700863063968512</v>
      </c>
      <c r="J74">
        <f t="shared" si="2"/>
        <v>15.761585280239792</v>
      </c>
      <c r="K74" s="47">
        <v>-25.285324074074079</v>
      </c>
      <c r="L74">
        <f t="shared" si="3"/>
        <v>3.9700863063968512</v>
      </c>
    </row>
    <row r="75" spans="2:12" x14ac:dyDescent="0.35">
      <c r="B75" s="64">
        <v>34</v>
      </c>
      <c r="C75" s="66" t="s">
        <v>176</v>
      </c>
      <c r="D75" s="2">
        <v>79.64</v>
      </c>
      <c r="E75">
        <f t="shared" si="7"/>
        <v>102.70935282560245</v>
      </c>
      <c r="F75">
        <f t="shared" si="8"/>
        <v>0.33206412941593438</v>
      </c>
      <c r="G75">
        <f t="shared" si="9"/>
        <v>-26.649352046601976</v>
      </c>
      <c r="H75" s="80">
        <f t="shared" si="0"/>
        <v>76.392064908416415</v>
      </c>
      <c r="I75" s="80">
        <f t="shared" si="1"/>
        <v>3.2479350915835852</v>
      </c>
      <c r="J75">
        <f t="shared" si="2"/>
        <v>10.549082359140073</v>
      </c>
      <c r="K75" s="48">
        <v>-27.544351851851857</v>
      </c>
      <c r="L75">
        <f t="shared" si="3"/>
        <v>3.2479350915835852</v>
      </c>
    </row>
    <row r="76" spans="2:12" x14ac:dyDescent="0.35">
      <c r="B76" s="63">
        <v>35</v>
      </c>
      <c r="C76" s="65" t="s">
        <v>177</v>
      </c>
      <c r="D76" s="2">
        <v>97.01</v>
      </c>
      <c r="E76">
        <f t="shared" si="7"/>
        <v>103.6835160002573</v>
      </c>
      <c r="F76">
        <f>$H$38*(E76-E75)+(1-$H$38)*(F75)</f>
        <v>0.39627403393982574</v>
      </c>
      <c r="G76">
        <f t="shared" si="9"/>
        <v>-11.296629125977381</v>
      </c>
      <c r="H76" s="80">
        <f t="shared" si="0"/>
        <v>92.783160908219756</v>
      </c>
      <c r="I76" s="80">
        <f t="shared" si="1"/>
        <v>4.2268390917802492</v>
      </c>
      <c r="J76">
        <f t="shared" si="2"/>
        <v>17.86616870780168</v>
      </c>
      <c r="K76" s="47">
        <v>-12.452407407407401</v>
      </c>
      <c r="L76">
        <f t="shared" si="3"/>
        <v>4.2268390917802492</v>
      </c>
    </row>
    <row r="77" spans="2:12" x14ac:dyDescent="0.35">
      <c r="B77" s="64">
        <v>36</v>
      </c>
      <c r="C77" s="66" t="s">
        <v>178</v>
      </c>
      <c r="D77" s="2">
        <v>95.05</v>
      </c>
      <c r="E77">
        <f t="shared" si="7"/>
        <v>104.20005177151816</v>
      </c>
      <c r="F77">
        <f t="shared" si="8"/>
        <v>0.40830020767192943</v>
      </c>
      <c r="G77">
        <f t="shared" si="9"/>
        <v>-10.015936280229555</v>
      </c>
      <c r="H77" s="80">
        <f t="shared" si="0"/>
        <v>94.592415698960536</v>
      </c>
      <c r="I77" s="80">
        <f t="shared" si="1"/>
        <v>0.45758430103946068</v>
      </c>
      <c r="J77">
        <f t="shared" si="2"/>
        <v>0.20938339255777177</v>
      </c>
      <c r="K77" s="48">
        <v>-10.232407407407402</v>
      </c>
      <c r="L77">
        <f t="shared" si="3"/>
        <v>0.45758430103946068</v>
      </c>
    </row>
    <row r="78" spans="2:12" x14ac:dyDescent="0.35">
      <c r="B78" s="63">
        <v>37</v>
      </c>
      <c r="C78" s="65" t="s">
        <v>179</v>
      </c>
      <c r="D78" s="2">
        <v>84.99</v>
      </c>
      <c r="E78">
        <f t="shared" si="7"/>
        <v>103.74551678127108</v>
      </c>
      <c r="F78">
        <f t="shared" si="8"/>
        <v>0.32201668788002813</v>
      </c>
      <c r="G78">
        <f t="shared" si="9"/>
        <v>-12.543103356254218</v>
      </c>
      <c r="H78" s="80">
        <f t="shared" si="0"/>
        <v>91.52443011289688</v>
      </c>
      <c r="I78" s="80">
        <f t="shared" si="1"/>
        <v>-6.5344301128968851</v>
      </c>
      <c r="J78">
        <f t="shared" si="2"/>
        <v>42.698776900333598</v>
      </c>
      <c r="K78">
        <v>-10.99</v>
      </c>
      <c r="L78">
        <f t="shared" si="3"/>
        <v>6.5344301128968851</v>
      </c>
    </row>
    <row r="79" spans="2:12" x14ac:dyDescent="0.35">
      <c r="B79" s="64">
        <v>38</v>
      </c>
      <c r="C79" s="66" t="s">
        <v>180</v>
      </c>
      <c r="D79" s="2">
        <v>122.22</v>
      </c>
      <c r="E79">
        <f t="shared" si="7"/>
        <v>104.51213197408785</v>
      </c>
      <c r="F79">
        <f t="shared" si="8"/>
        <v>0.36647653837370253</v>
      </c>
      <c r="G79">
        <f>$H$39*(D79-E79)+(1-$H$39)*K79</f>
        <v>14.506758790367618</v>
      </c>
      <c r="H79" s="80">
        <f t="shared" si="0"/>
        <v>119.38536730282917</v>
      </c>
      <c r="I79" s="80">
        <f t="shared" si="1"/>
        <v>2.8346326971708322</v>
      </c>
      <c r="J79">
        <f t="shared" si="2"/>
        <v>8.0351425278699864</v>
      </c>
      <c r="K79" s="35">
        <v>13.706481481481484</v>
      </c>
      <c r="L79">
        <f t="shared" si="3"/>
        <v>2.8346326971708322</v>
      </c>
    </row>
    <row r="80" spans="2:12" x14ac:dyDescent="0.35">
      <c r="B80" s="63">
        <v>39</v>
      </c>
      <c r="C80" s="65" t="s">
        <v>181</v>
      </c>
      <c r="D80" s="2">
        <v>109.65</v>
      </c>
      <c r="E80">
        <f t="shared" si="7"/>
        <v>103.49490506862281</v>
      </c>
      <c r="F80">
        <f t="shared" si="8"/>
        <v>0.22810619398982857</v>
      </c>
      <c r="G80">
        <f t="shared" si="9"/>
        <v>16.117759727016178</v>
      </c>
      <c r="H80" s="80">
        <f t="shared" si="0"/>
        <v>119.84077098962882</v>
      </c>
      <c r="I80" s="80">
        <f t="shared" si="1"/>
        <v>-10.190770989628817</v>
      </c>
      <c r="J80">
        <f t="shared" si="2"/>
        <v>103.85181336306029</v>
      </c>
      <c r="K80" s="46">
        <v>18.608425925925925</v>
      </c>
      <c r="L80">
        <f t="shared" si="3"/>
        <v>10.190770989628817</v>
      </c>
    </row>
    <row r="81" spans="1:13" x14ac:dyDescent="0.35">
      <c r="B81" s="64">
        <v>40</v>
      </c>
      <c r="C81" s="66" t="s">
        <v>182</v>
      </c>
      <c r="D81" s="2">
        <v>117.89</v>
      </c>
      <c r="E81">
        <f t="shared" si="7"/>
        <v>101.97752032153656</v>
      </c>
      <c r="F81">
        <f t="shared" si="8"/>
        <v>5.3557099882220294E-2</v>
      </c>
      <c r="G81">
        <f t="shared" si="9"/>
        <v>28.480014454211211</v>
      </c>
      <c r="H81" s="80">
        <f t="shared" si="0"/>
        <v>130.51109187563</v>
      </c>
      <c r="I81" s="80">
        <f t="shared" si="1"/>
        <v>-12.62109187563</v>
      </c>
      <c r="J81">
        <f t="shared" si="2"/>
        <v>159.2919601330936</v>
      </c>
      <c r="K81" s="35">
        <v>31.621898148148151</v>
      </c>
      <c r="L81">
        <f t="shared" si="3"/>
        <v>12.62109187563</v>
      </c>
    </row>
    <row r="82" spans="1:13" x14ac:dyDescent="0.35">
      <c r="B82" s="63">
        <v>41</v>
      </c>
      <c r="C82" s="65" t="s">
        <v>183</v>
      </c>
      <c r="D82" s="2">
        <v>125.38</v>
      </c>
      <c r="E82">
        <f t="shared" si="7"/>
        <v>101.73565486446209</v>
      </c>
      <c r="F82">
        <f t="shared" si="8"/>
        <v>2.4014844186551483E-2</v>
      </c>
      <c r="G82">
        <f t="shared" si="9"/>
        <v>25.771387545626109</v>
      </c>
      <c r="H82" s="80">
        <f t="shared" si="0"/>
        <v>127.53105725427476</v>
      </c>
      <c r="I82" s="80">
        <f t="shared" si="1"/>
        <v>-2.151057254274761</v>
      </c>
      <c r="J82">
        <f t="shared" si="2"/>
        <v>4.6270473111680737</v>
      </c>
      <c r="K82" s="46">
        <v>26.303148148148157</v>
      </c>
      <c r="L82">
        <f t="shared" si="3"/>
        <v>2.151057254274761</v>
      </c>
    </row>
    <row r="83" spans="1:13" x14ac:dyDescent="0.35">
      <c r="B83" s="64">
        <v>42</v>
      </c>
      <c r="C83" s="66" t="s">
        <v>184</v>
      </c>
      <c r="D83" s="2">
        <v>138.22</v>
      </c>
      <c r="E83">
        <f t="shared" si="7"/>
        <v>104.18599903408008</v>
      </c>
      <c r="F83">
        <f t="shared" si="8"/>
        <v>0.26664777672969553</v>
      </c>
      <c r="G83">
        <f t="shared" si="9"/>
        <v>16.564429822813612</v>
      </c>
      <c r="H83" s="80">
        <f t="shared" si="0"/>
        <v>121.01707663362339</v>
      </c>
      <c r="I83" s="80">
        <f t="shared" si="1"/>
        <v>17.202923366376609</v>
      </c>
      <c r="J83">
        <f t="shared" si="2"/>
        <v>295.9405723494263</v>
      </c>
      <c r="K83" s="35">
        <v>12.197037037037035</v>
      </c>
      <c r="L83">
        <f t="shared" si="3"/>
        <v>17.202923366376609</v>
      </c>
    </row>
    <row r="84" spans="1:13" x14ac:dyDescent="0.35">
      <c r="B84" s="63">
        <v>43</v>
      </c>
      <c r="C84" s="65" t="s">
        <v>185</v>
      </c>
      <c r="D84" s="2">
        <v>136.47999999999999</v>
      </c>
      <c r="E84">
        <f t="shared" si="7"/>
        <v>108.22559509269178</v>
      </c>
      <c r="F84">
        <f t="shared" si="8"/>
        <v>0.64394260491789534</v>
      </c>
      <c r="G84">
        <f t="shared" si="9"/>
        <v>1.089177277757944</v>
      </c>
      <c r="H84" s="80">
        <f t="shared" si="0"/>
        <v>109.95871497536761</v>
      </c>
      <c r="I84" s="80">
        <f t="shared" si="1"/>
        <v>26.521285024632377</v>
      </c>
      <c r="J84">
        <f t="shared" si="2"/>
        <v>703.37855935778953</v>
      </c>
      <c r="K84" s="47">
        <v>-5.7021296296296242</v>
      </c>
      <c r="L84">
        <f t="shared" si="3"/>
        <v>26.521285024632377</v>
      </c>
    </row>
    <row r="85" spans="1:13" x14ac:dyDescent="0.35">
      <c r="B85" s="64">
        <v>44</v>
      </c>
      <c r="C85" s="66" t="s">
        <v>186</v>
      </c>
      <c r="D85" s="2">
        <v>89.57</v>
      </c>
      <c r="E85">
        <f t="shared" si="7"/>
        <v>107.96210244636723</v>
      </c>
      <c r="F85">
        <f t="shared" si="8"/>
        <v>0.55319907979365079</v>
      </c>
      <c r="G85">
        <f t="shared" si="9"/>
        <v>-11.858568637421602</v>
      </c>
      <c r="H85" s="80">
        <f t="shared" si="0"/>
        <v>96.656732888739285</v>
      </c>
      <c r="I85" s="80">
        <f t="shared" si="1"/>
        <v>-7.0867328887392915</v>
      </c>
      <c r="J85">
        <f t="shared" si="2"/>
        <v>50.221783036339147</v>
      </c>
      <c r="K85" s="48">
        <v>-10.225185185185191</v>
      </c>
      <c r="L85">
        <f t="shared" si="3"/>
        <v>7.0867328887392915</v>
      </c>
    </row>
    <row r="86" spans="1:13" x14ac:dyDescent="0.35">
      <c r="B86" s="63">
        <v>45</v>
      </c>
      <c r="C86" s="65" t="s">
        <v>187</v>
      </c>
      <c r="D86" s="2">
        <v>76.55</v>
      </c>
      <c r="E86">
        <f t="shared" si="7"/>
        <v>107.8473037809522</v>
      </c>
      <c r="F86">
        <f t="shared" si="8"/>
        <v>0.48639930527278341</v>
      </c>
      <c r="G86">
        <f t="shared" si="9"/>
        <v>-26.487720015449707</v>
      </c>
      <c r="H86" s="80">
        <f t="shared" si="0"/>
        <v>81.845983070775276</v>
      </c>
      <c r="I86" s="80">
        <f t="shared" si="1"/>
        <v>-5.2959830707752786</v>
      </c>
      <c r="J86">
        <f t="shared" si="2"/>
        <v>28.047436685938351</v>
      </c>
      <c r="K86" s="47">
        <v>-25.285324074074079</v>
      </c>
      <c r="L86">
        <f t="shared" si="3"/>
        <v>5.2959830707752786</v>
      </c>
    </row>
    <row r="87" spans="1:13" x14ac:dyDescent="0.35">
      <c r="B87" s="64">
        <v>46</v>
      </c>
      <c r="C87" s="66" t="s">
        <v>188</v>
      </c>
      <c r="D87" s="2">
        <v>82.29</v>
      </c>
      <c r="E87">
        <f t="shared" si="7"/>
        <v>108.48376796278768</v>
      </c>
      <c r="F87">
        <f t="shared" si="8"/>
        <v>0.50140579292905296</v>
      </c>
      <c r="G87">
        <f t="shared" si="9"/>
        <v>-27.274235074039023</v>
      </c>
      <c r="H87" s="80">
        <f t="shared" si="0"/>
        <v>81.710938681677703</v>
      </c>
      <c r="I87" s="80">
        <f t="shared" si="1"/>
        <v>0.57906131832230301</v>
      </c>
      <c r="J87">
        <f t="shared" si="2"/>
        <v>0.33531201037716352</v>
      </c>
      <c r="K87" s="48">
        <v>-27.544351851851857</v>
      </c>
      <c r="L87">
        <f t="shared" si="3"/>
        <v>0.57906131832230301</v>
      </c>
    </row>
    <row r="88" spans="1:13" x14ac:dyDescent="0.35">
      <c r="B88" s="63">
        <v>47</v>
      </c>
      <c r="C88" s="65" t="s">
        <v>189</v>
      </c>
      <c r="D88" s="2">
        <v>89.81</v>
      </c>
      <c r="E88">
        <f t="shared" si="7"/>
        <v>108.31289712088579</v>
      </c>
      <c r="F88">
        <f t="shared" si="8"/>
        <v>0.4341781294459589</v>
      </c>
      <c r="G88">
        <f t="shared" si="9"/>
        <v>-13.66250535010308</v>
      </c>
      <c r="H88" s="80">
        <f t="shared" si="0"/>
        <v>95.084569900228672</v>
      </c>
      <c r="I88" s="80">
        <f t="shared" si="1"/>
        <v>-5.2745699002286699</v>
      </c>
      <c r="J88">
        <f t="shared" si="2"/>
        <v>27.821087632398282</v>
      </c>
      <c r="K88" s="47">
        <v>-12.452407407407401</v>
      </c>
      <c r="L88">
        <f t="shared" si="3"/>
        <v>5.2745699002286699</v>
      </c>
    </row>
    <row r="89" spans="1:13" x14ac:dyDescent="0.35">
      <c r="B89" s="67">
        <v>48</v>
      </c>
      <c r="C89" s="68" t="s">
        <v>190</v>
      </c>
      <c r="D89" s="9">
        <v>86.12</v>
      </c>
      <c r="E89">
        <f t="shared" si="7"/>
        <v>107.50760846603931</v>
      </c>
      <c r="F89">
        <f t="shared" si="8"/>
        <v>0.31023145101671518</v>
      </c>
      <c r="G89">
        <f t="shared" si="9"/>
        <v>-12.463447619133785</v>
      </c>
      <c r="H89" s="80">
        <f t="shared" si="0"/>
        <v>95.354392297922246</v>
      </c>
      <c r="I89" s="80">
        <f t="shared" si="1"/>
        <v>-9.2343922979222413</v>
      </c>
      <c r="J89">
        <f t="shared" si="2"/>
        <v>85.274001111925614</v>
      </c>
      <c r="K89" s="48">
        <v>-10.232407407407402</v>
      </c>
      <c r="L89">
        <f t="shared" si="3"/>
        <v>9.2343922979222413</v>
      </c>
    </row>
    <row r="90" spans="1:13" x14ac:dyDescent="0.35">
      <c r="A90" s="82" t="s">
        <v>197</v>
      </c>
      <c r="B90" s="82" t="s">
        <v>198</v>
      </c>
      <c r="C90" s="82" t="s">
        <v>1</v>
      </c>
      <c r="D90" s="108" t="s">
        <v>199</v>
      </c>
      <c r="E90" s="108"/>
      <c r="F90" s="108"/>
      <c r="G90" s="108"/>
      <c r="H90" s="108"/>
      <c r="I90" s="108"/>
      <c r="J90" s="108"/>
      <c r="K90" s="108"/>
      <c r="L90" s="108"/>
    </row>
    <row r="91" spans="1:13" x14ac:dyDescent="0.35">
      <c r="A91" s="83" t="s">
        <v>200</v>
      </c>
      <c r="B91" s="44" t="s">
        <v>201</v>
      </c>
      <c r="C91" s="84">
        <f>AVERAGE(L42:L89)</f>
        <v>6.3449525923041321</v>
      </c>
      <c r="D91" s="101" t="s">
        <v>202</v>
      </c>
      <c r="E91" s="101"/>
      <c r="F91" s="101"/>
      <c r="G91" s="101"/>
      <c r="H91" s="101"/>
      <c r="I91" s="101"/>
      <c r="J91" s="101"/>
      <c r="K91" s="101"/>
      <c r="L91" s="101"/>
    </row>
    <row r="92" spans="1:13" x14ac:dyDescent="0.35">
      <c r="A92" s="83" t="s">
        <v>203</v>
      </c>
      <c r="B92" s="45" t="s">
        <v>204</v>
      </c>
      <c r="C92" s="84">
        <f>SQRT(AVERAGE(J42:J89))</f>
        <v>8.5018578801976723</v>
      </c>
      <c r="D92" s="102" t="s">
        <v>205</v>
      </c>
      <c r="E92" s="102"/>
      <c r="F92" s="102"/>
      <c r="G92" s="102"/>
      <c r="H92" s="102"/>
      <c r="I92" s="102"/>
      <c r="J92" s="102"/>
      <c r="K92" s="102"/>
      <c r="L92" s="102"/>
    </row>
    <row r="94" spans="1:13" x14ac:dyDescent="0.35">
      <c r="B94" s="103" t="s">
        <v>207</v>
      </c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</row>
    <row r="95" spans="1:13" x14ac:dyDescent="0.35">
      <c r="B95" s="104" t="s">
        <v>208</v>
      </c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</row>
    <row r="96" spans="1:13" ht="34.5" x14ac:dyDescent="0.35">
      <c r="B96" s="59" t="s">
        <v>209</v>
      </c>
      <c r="C96" s="59" t="s">
        <v>210</v>
      </c>
      <c r="D96" s="59" t="s">
        <v>211</v>
      </c>
      <c r="E96" s="59" t="s">
        <v>212</v>
      </c>
      <c r="F96" s="59" t="s">
        <v>213</v>
      </c>
      <c r="G96" s="91" t="s">
        <v>214</v>
      </c>
      <c r="H96" s="93"/>
      <c r="I96" s="93"/>
    </row>
    <row r="97" spans="2:9" x14ac:dyDescent="0.35">
      <c r="B97" s="85">
        <v>1</v>
      </c>
      <c r="C97" s="86" t="s">
        <v>215</v>
      </c>
      <c r="D97" s="87">
        <v>107.50700000000001</v>
      </c>
      <c r="E97" s="88">
        <f>B97*$F$89</f>
        <v>0.31023145101671518</v>
      </c>
      <c r="F97">
        <v>-10.99</v>
      </c>
      <c r="G97" s="92">
        <f>SUM(D97:F97)</f>
        <v>96.827231451016729</v>
      </c>
      <c r="H97" s="94"/>
      <c r="I97" s="94"/>
    </row>
    <row r="98" spans="2:9" x14ac:dyDescent="0.35">
      <c r="B98" s="89">
        <v>2</v>
      </c>
      <c r="C98" s="90" t="s">
        <v>216</v>
      </c>
      <c r="D98" s="87">
        <v>107.50700000000001</v>
      </c>
      <c r="E98" s="88">
        <f t="shared" ref="E98:E108" si="10">B98*$F$89</f>
        <v>0.62046290203343035</v>
      </c>
      <c r="F98" s="35">
        <v>13.706481481481484</v>
      </c>
      <c r="G98" s="92">
        <f t="shared" ref="G98:G108" si="11">SUM(D98:F98)</f>
        <v>121.83394438351492</v>
      </c>
      <c r="H98" s="94"/>
      <c r="I98" s="94"/>
    </row>
    <row r="99" spans="2:9" x14ac:dyDescent="0.35">
      <c r="B99" s="85">
        <v>3</v>
      </c>
      <c r="C99" s="86" t="s">
        <v>217</v>
      </c>
      <c r="D99" s="87">
        <v>107.50700000000001</v>
      </c>
      <c r="E99" s="88">
        <f t="shared" si="10"/>
        <v>0.93069435305014547</v>
      </c>
      <c r="F99" s="46">
        <v>18.608425925925925</v>
      </c>
      <c r="G99" s="92">
        <f t="shared" si="11"/>
        <v>127.04612027897608</v>
      </c>
      <c r="H99" s="94"/>
      <c r="I99" s="94"/>
    </row>
    <row r="100" spans="2:9" x14ac:dyDescent="0.35">
      <c r="B100" s="89">
        <v>4</v>
      </c>
      <c r="C100" s="90" t="s">
        <v>218</v>
      </c>
      <c r="D100" s="87">
        <v>107.50700000000001</v>
      </c>
      <c r="E100" s="88">
        <f t="shared" si="10"/>
        <v>1.2409258040668607</v>
      </c>
      <c r="F100" s="35">
        <v>31.621898148148151</v>
      </c>
      <c r="G100" s="92">
        <f t="shared" si="11"/>
        <v>140.36982395221503</v>
      </c>
      <c r="H100" s="94"/>
      <c r="I100" s="94"/>
    </row>
    <row r="101" spans="2:9" x14ac:dyDescent="0.35">
      <c r="B101" s="85">
        <v>5</v>
      </c>
      <c r="C101" s="86" t="s">
        <v>219</v>
      </c>
      <c r="D101" s="87">
        <v>107.50700000000001</v>
      </c>
      <c r="E101" s="88">
        <f t="shared" si="10"/>
        <v>1.5511572550835759</v>
      </c>
      <c r="F101" s="46">
        <v>26.303148148148157</v>
      </c>
      <c r="G101" s="92">
        <f t="shared" si="11"/>
        <v>135.36130540323174</v>
      </c>
      <c r="H101" s="94"/>
      <c r="I101" s="94"/>
    </row>
    <row r="102" spans="2:9" x14ac:dyDescent="0.35">
      <c r="B102" s="89">
        <v>6</v>
      </c>
      <c r="C102" s="90" t="s">
        <v>220</v>
      </c>
      <c r="D102" s="87">
        <v>107.50700000000001</v>
      </c>
      <c r="E102" s="88">
        <f t="shared" si="10"/>
        <v>1.8613887061002909</v>
      </c>
      <c r="F102" s="35">
        <v>12.197037037037035</v>
      </c>
      <c r="G102" s="92">
        <f t="shared" si="11"/>
        <v>121.56542574313733</v>
      </c>
      <c r="H102" s="94"/>
      <c r="I102" s="94"/>
    </row>
    <row r="103" spans="2:9" x14ac:dyDescent="0.35">
      <c r="B103" s="85">
        <v>7</v>
      </c>
      <c r="C103" s="86" t="s">
        <v>221</v>
      </c>
      <c r="D103" s="87">
        <v>107.50700000000001</v>
      </c>
      <c r="E103" s="88">
        <f t="shared" si="10"/>
        <v>2.1716201571170064</v>
      </c>
      <c r="F103" s="47">
        <v>-5.7021296296296242</v>
      </c>
      <c r="G103" s="92">
        <f t="shared" si="11"/>
        <v>103.97649052748739</v>
      </c>
      <c r="H103" s="94"/>
      <c r="I103" s="94"/>
    </row>
    <row r="104" spans="2:9" x14ac:dyDescent="0.35">
      <c r="B104" s="89">
        <v>8</v>
      </c>
      <c r="C104" s="90" t="s">
        <v>222</v>
      </c>
      <c r="D104" s="87">
        <v>107.50700000000001</v>
      </c>
      <c r="E104" s="88">
        <f t="shared" si="10"/>
        <v>2.4818516081337214</v>
      </c>
      <c r="F104" s="48">
        <v>-10.225185185185191</v>
      </c>
      <c r="G104" s="92">
        <f t="shared" si="11"/>
        <v>99.763666422948532</v>
      </c>
      <c r="H104" s="94"/>
      <c r="I104" s="94"/>
    </row>
    <row r="105" spans="2:9" x14ac:dyDescent="0.35">
      <c r="B105" s="85">
        <v>9</v>
      </c>
      <c r="C105" s="86" t="s">
        <v>223</v>
      </c>
      <c r="D105" s="87">
        <v>107.50700000000001</v>
      </c>
      <c r="E105" s="88">
        <f t="shared" si="10"/>
        <v>2.7920830591504364</v>
      </c>
      <c r="F105" s="47">
        <v>-25.285324074074079</v>
      </c>
      <c r="G105" s="92">
        <f t="shared" si="11"/>
        <v>85.013758985076365</v>
      </c>
      <c r="H105" s="94"/>
      <c r="I105" s="94"/>
    </row>
    <row r="106" spans="2:9" x14ac:dyDescent="0.35">
      <c r="B106" s="89">
        <v>10</v>
      </c>
      <c r="C106" s="90" t="s">
        <v>224</v>
      </c>
      <c r="D106" s="87">
        <v>107.50700000000001</v>
      </c>
      <c r="E106" s="88">
        <f t="shared" si="10"/>
        <v>3.1023145101671519</v>
      </c>
      <c r="F106" s="48">
        <v>-27.544351851851857</v>
      </c>
      <c r="G106" s="92">
        <f t="shared" si="11"/>
        <v>83.064962658315295</v>
      </c>
      <c r="H106" s="94"/>
      <c r="I106" s="94"/>
    </row>
    <row r="107" spans="2:9" x14ac:dyDescent="0.35">
      <c r="B107" s="85">
        <v>11</v>
      </c>
      <c r="C107" s="86" t="s">
        <v>225</v>
      </c>
      <c r="D107" s="87">
        <v>107.50700000000001</v>
      </c>
      <c r="E107" s="88">
        <f t="shared" si="10"/>
        <v>3.4125459611838669</v>
      </c>
      <c r="F107" s="47">
        <v>-12.452407407407401</v>
      </c>
      <c r="G107" s="92">
        <f t="shared" si="11"/>
        <v>98.467138553776465</v>
      </c>
      <c r="H107" s="94"/>
      <c r="I107" s="94"/>
    </row>
    <row r="108" spans="2:9" x14ac:dyDescent="0.35">
      <c r="B108" s="89">
        <v>12</v>
      </c>
      <c r="C108" s="90" t="s">
        <v>226</v>
      </c>
      <c r="D108" s="87">
        <v>107.50700000000001</v>
      </c>
      <c r="E108" s="88">
        <f t="shared" si="10"/>
        <v>3.7227774122005819</v>
      </c>
      <c r="F108" s="48">
        <v>-10.232407407407402</v>
      </c>
      <c r="G108" s="92">
        <f t="shared" si="11"/>
        <v>100.99737000479318</v>
      </c>
      <c r="H108" s="94"/>
      <c r="I108" s="94"/>
    </row>
    <row r="111" spans="2:9" x14ac:dyDescent="0.35">
      <c r="B111" s="96" t="s">
        <v>0</v>
      </c>
      <c r="C111" s="96" t="s">
        <v>229</v>
      </c>
      <c r="D111" s="96" t="s">
        <v>227</v>
      </c>
      <c r="E111" s="96" t="s">
        <v>228</v>
      </c>
      <c r="F111" s="95"/>
    </row>
    <row r="112" spans="2:9" x14ac:dyDescent="0.35">
      <c r="B112" s="2" t="s">
        <v>143</v>
      </c>
      <c r="C112" s="97">
        <v>87.68</v>
      </c>
      <c r="D112" s="98">
        <v>89.349467180489228</v>
      </c>
      <c r="E112" s="99"/>
    </row>
    <row r="113" spans="2:5" x14ac:dyDescent="0.35">
      <c r="B113" s="2" t="s">
        <v>144</v>
      </c>
      <c r="C113" s="97">
        <v>119.79</v>
      </c>
      <c r="D113" s="98">
        <v>116.02429906382174</v>
      </c>
      <c r="E113" s="99"/>
    </row>
    <row r="114" spans="2:5" x14ac:dyDescent="0.35">
      <c r="B114" s="2" t="s">
        <v>145</v>
      </c>
      <c r="C114" s="97">
        <v>135.83000000000001</v>
      </c>
      <c r="D114" s="98">
        <v>124.64001865707171</v>
      </c>
      <c r="E114" s="99"/>
    </row>
    <row r="115" spans="2:5" x14ac:dyDescent="0.35">
      <c r="B115" s="2" t="s">
        <v>146</v>
      </c>
      <c r="C115" s="97">
        <v>107.86</v>
      </c>
      <c r="D115" s="98">
        <v>127.21773138220371</v>
      </c>
      <c r="E115" s="99"/>
    </row>
    <row r="116" spans="2:5" x14ac:dyDescent="0.35">
      <c r="B116" s="2" t="s">
        <v>147</v>
      </c>
      <c r="C116" s="97">
        <v>124.99</v>
      </c>
      <c r="D116" s="98">
        <v>126.2003830210005</v>
      </c>
      <c r="E116" s="99"/>
    </row>
    <row r="117" spans="2:5" x14ac:dyDescent="0.35">
      <c r="B117" s="2" t="s">
        <v>148</v>
      </c>
      <c r="C117" s="97">
        <v>105.73</v>
      </c>
      <c r="D117" s="98">
        <v>110.41802677681869</v>
      </c>
      <c r="E117" s="99"/>
    </row>
    <row r="118" spans="2:5" x14ac:dyDescent="0.35">
      <c r="B118" s="2" t="s">
        <v>149</v>
      </c>
      <c r="C118" s="97">
        <v>97.73</v>
      </c>
      <c r="D118" s="98">
        <v>94.76181755595357</v>
      </c>
      <c r="E118" s="99"/>
    </row>
    <row r="119" spans="2:5" x14ac:dyDescent="0.35">
      <c r="B119" s="2" t="s">
        <v>150</v>
      </c>
      <c r="C119" s="97">
        <v>93.16</v>
      </c>
      <c r="D119" s="98">
        <v>90.491641637170943</v>
      </c>
      <c r="E119" s="99"/>
    </row>
    <row r="120" spans="2:5" x14ac:dyDescent="0.35">
      <c r="B120" s="2" t="s">
        <v>151</v>
      </c>
      <c r="C120" s="97">
        <v>72.14</v>
      </c>
      <c r="D120" s="98">
        <v>73.965868282783788</v>
      </c>
      <c r="E120" s="99"/>
    </row>
    <row r="121" spans="2:5" x14ac:dyDescent="0.35">
      <c r="B121" s="2" t="s">
        <v>152</v>
      </c>
      <c r="C121" s="97">
        <v>65.59</v>
      </c>
      <c r="D121" s="98">
        <v>70.197903858785281</v>
      </c>
      <c r="E121" s="99"/>
    </row>
    <row r="122" spans="2:5" x14ac:dyDescent="0.35">
      <c r="B122" s="2" t="s">
        <v>153</v>
      </c>
      <c r="C122" s="97">
        <v>81.400000000000006</v>
      </c>
      <c r="D122" s="98">
        <v>84.866337394154343</v>
      </c>
      <c r="E122" s="99"/>
    </row>
    <row r="123" spans="2:5" x14ac:dyDescent="0.35">
      <c r="B123" s="2" t="s">
        <v>154</v>
      </c>
      <c r="C123" s="97">
        <v>77.290000000000006</v>
      </c>
      <c r="D123" s="98">
        <v>84.70556420204494</v>
      </c>
      <c r="E123" s="99"/>
    </row>
    <row r="124" spans="2:5" x14ac:dyDescent="0.35">
      <c r="B124" s="2" t="s">
        <v>155</v>
      </c>
      <c r="C124" s="97">
        <v>85.77</v>
      </c>
      <c r="D124" s="98">
        <v>85.549421946385294</v>
      </c>
      <c r="E124" s="99"/>
    </row>
    <row r="125" spans="2:5" x14ac:dyDescent="0.35">
      <c r="B125" s="2" t="s">
        <v>156</v>
      </c>
      <c r="C125" s="97">
        <v>116.92</v>
      </c>
      <c r="D125" s="98">
        <v>111.89816821534629</v>
      </c>
      <c r="E125" s="99"/>
    </row>
    <row r="126" spans="2:5" x14ac:dyDescent="0.35">
      <c r="B126" s="2" t="s">
        <v>157</v>
      </c>
      <c r="C126" s="97">
        <v>109.88</v>
      </c>
      <c r="D126" s="98">
        <v>113.7125720641466</v>
      </c>
      <c r="E126" s="99"/>
    </row>
    <row r="127" spans="2:5" x14ac:dyDescent="0.35">
      <c r="B127" s="2" t="s">
        <v>158</v>
      </c>
      <c r="C127" s="97">
        <v>131.63</v>
      </c>
      <c r="D127" s="98">
        <v>128.59207508520319</v>
      </c>
      <c r="E127" s="99"/>
    </row>
    <row r="128" spans="2:5" x14ac:dyDescent="0.35">
      <c r="B128" s="2" t="s">
        <v>159</v>
      </c>
      <c r="C128" s="97">
        <v>128.78</v>
      </c>
      <c r="D128" s="98">
        <v>124.12649455330211</v>
      </c>
      <c r="E128" s="99"/>
    </row>
    <row r="129" spans="2:5" x14ac:dyDescent="0.35">
      <c r="B129" s="2" t="s">
        <v>160</v>
      </c>
      <c r="C129" s="97">
        <v>87.85</v>
      </c>
      <c r="D129" s="98">
        <v>102.6114682401692</v>
      </c>
      <c r="E129" s="99"/>
    </row>
    <row r="130" spans="2:5" x14ac:dyDescent="0.35">
      <c r="B130" s="2" t="s">
        <v>161</v>
      </c>
      <c r="C130" s="97">
        <v>93.65</v>
      </c>
      <c r="D130" s="98">
        <v>89.597721542614565</v>
      </c>
      <c r="E130" s="99"/>
    </row>
    <row r="131" spans="2:5" x14ac:dyDescent="0.35">
      <c r="B131" s="2" t="s">
        <v>162</v>
      </c>
      <c r="C131" s="97">
        <v>99.41</v>
      </c>
      <c r="D131" s="98">
        <v>88.228302854944801</v>
      </c>
      <c r="E131" s="99"/>
    </row>
    <row r="132" spans="2:5" x14ac:dyDescent="0.35">
      <c r="B132" s="2" t="s">
        <v>163</v>
      </c>
      <c r="C132" s="97">
        <v>68.040000000000006</v>
      </c>
      <c r="D132" s="98">
        <v>69.537444396381474</v>
      </c>
      <c r="E132" s="99"/>
    </row>
    <row r="133" spans="2:5" x14ac:dyDescent="0.35">
      <c r="B133" s="2" t="s">
        <v>164</v>
      </c>
      <c r="C133" s="97">
        <v>69.459999999999994</v>
      </c>
      <c r="D133" s="98">
        <v>67.998487617488422</v>
      </c>
      <c r="E133" s="99"/>
    </row>
    <row r="134" spans="2:5" x14ac:dyDescent="0.35">
      <c r="B134" s="2" t="s">
        <v>165</v>
      </c>
      <c r="C134" s="97">
        <v>81.99</v>
      </c>
      <c r="D134" s="98">
        <v>82.347922195865351</v>
      </c>
      <c r="E134" s="99"/>
    </row>
    <row r="135" spans="2:5" x14ac:dyDescent="0.35">
      <c r="B135" s="2" t="s">
        <v>166</v>
      </c>
      <c r="C135" s="97">
        <v>96.09</v>
      </c>
      <c r="D135" s="98">
        <v>87.802434094445928</v>
      </c>
      <c r="E135" s="99"/>
    </row>
    <row r="136" spans="2:5" x14ac:dyDescent="0.35">
      <c r="B136" s="2" t="s">
        <v>167</v>
      </c>
      <c r="C136" s="97">
        <v>98.35</v>
      </c>
      <c r="D136" s="98">
        <v>88.775479721483237</v>
      </c>
      <c r="E136" s="99"/>
    </row>
    <row r="137" spans="2:5" x14ac:dyDescent="0.35">
      <c r="B137" s="2" t="s">
        <v>168</v>
      </c>
      <c r="C137" s="97">
        <v>105.54</v>
      </c>
      <c r="D137" s="98">
        <v>109.50523450712053</v>
      </c>
      <c r="E137" s="99"/>
    </row>
    <row r="138" spans="2:5" x14ac:dyDescent="0.35">
      <c r="B138" s="2" t="s">
        <v>169</v>
      </c>
      <c r="C138" s="97">
        <v>139.88999999999999</v>
      </c>
      <c r="D138" s="98">
        <v>122.48857535801177</v>
      </c>
      <c r="E138" s="99"/>
    </row>
    <row r="139" spans="2:5" x14ac:dyDescent="0.35">
      <c r="B139" s="2" t="s">
        <v>170</v>
      </c>
      <c r="C139" s="97">
        <v>149.82</v>
      </c>
      <c r="D139" s="98">
        <v>136.75446164801156</v>
      </c>
      <c r="E139" s="99"/>
    </row>
    <row r="140" spans="2:5" x14ac:dyDescent="0.35">
      <c r="B140" s="2" t="s">
        <v>171</v>
      </c>
      <c r="C140" s="97">
        <v>130.27000000000001</v>
      </c>
      <c r="D140" s="98">
        <v>129.12150219253124</v>
      </c>
      <c r="E140" s="99"/>
    </row>
    <row r="141" spans="2:5" x14ac:dyDescent="0.35">
      <c r="B141" s="2" t="s">
        <v>172</v>
      </c>
      <c r="C141" s="97">
        <v>116.76</v>
      </c>
      <c r="D141" s="98">
        <v>115.67858477178474</v>
      </c>
      <c r="E141" s="99"/>
    </row>
    <row r="142" spans="2:5" x14ac:dyDescent="0.35">
      <c r="B142" s="2" t="s">
        <v>173</v>
      </c>
      <c r="C142" s="97">
        <v>90.51</v>
      </c>
      <c r="D142" s="98">
        <v>95.858064912061721</v>
      </c>
      <c r="E142" s="99"/>
    </row>
    <row r="143" spans="2:5" x14ac:dyDescent="0.35">
      <c r="B143" s="2" t="s">
        <v>174</v>
      </c>
      <c r="C143" s="97">
        <v>75.739999999999995</v>
      </c>
      <c r="D143" s="98">
        <v>88.083846944745929</v>
      </c>
      <c r="E143" s="99"/>
    </row>
    <row r="144" spans="2:5" x14ac:dyDescent="0.35">
      <c r="B144" s="2" t="s">
        <v>175</v>
      </c>
      <c r="C144" s="97">
        <v>81.96</v>
      </c>
      <c r="D144" s="98">
        <v>77.989913693603143</v>
      </c>
      <c r="E144" s="99"/>
    </row>
    <row r="145" spans="2:5" x14ac:dyDescent="0.35">
      <c r="B145" s="2" t="s">
        <v>176</v>
      </c>
      <c r="C145" s="97">
        <v>79.64</v>
      </c>
      <c r="D145" s="98">
        <v>76.392064908416415</v>
      </c>
      <c r="E145" s="99"/>
    </row>
    <row r="146" spans="2:5" x14ac:dyDescent="0.35">
      <c r="B146" s="2" t="s">
        <v>177</v>
      </c>
      <c r="C146" s="97">
        <v>97.01</v>
      </c>
      <c r="D146" s="98">
        <v>92.783160908219756</v>
      </c>
      <c r="E146" s="99"/>
    </row>
    <row r="147" spans="2:5" x14ac:dyDescent="0.35">
      <c r="B147" s="2" t="s">
        <v>178</v>
      </c>
      <c r="C147" s="97">
        <v>95.05</v>
      </c>
      <c r="D147" s="98">
        <v>94.592415698960536</v>
      </c>
      <c r="E147" s="99"/>
    </row>
    <row r="148" spans="2:5" x14ac:dyDescent="0.35">
      <c r="B148" s="2" t="s">
        <v>179</v>
      </c>
      <c r="C148" s="97">
        <v>84.99</v>
      </c>
      <c r="D148" s="98">
        <v>91.52443011289688</v>
      </c>
      <c r="E148" s="99"/>
    </row>
    <row r="149" spans="2:5" x14ac:dyDescent="0.35">
      <c r="B149" s="2" t="s">
        <v>180</v>
      </c>
      <c r="C149" s="97">
        <v>122.22</v>
      </c>
      <c r="D149" s="98">
        <v>119.38536730282917</v>
      </c>
      <c r="E149" s="99"/>
    </row>
    <row r="150" spans="2:5" x14ac:dyDescent="0.35">
      <c r="B150" s="2" t="s">
        <v>181</v>
      </c>
      <c r="C150" s="97">
        <v>109.65</v>
      </c>
      <c r="D150" s="98">
        <v>119.84077098962882</v>
      </c>
      <c r="E150" s="99"/>
    </row>
    <row r="151" spans="2:5" x14ac:dyDescent="0.35">
      <c r="B151" s="2" t="s">
        <v>182</v>
      </c>
      <c r="C151" s="97">
        <v>117.89</v>
      </c>
      <c r="D151" s="98">
        <v>130.51109187563</v>
      </c>
      <c r="E151" s="99"/>
    </row>
    <row r="152" spans="2:5" x14ac:dyDescent="0.35">
      <c r="B152" s="2" t="s">
        <v>183</v>
      </c>
      <c r="C152" s="97">
        <v>125.38</v>
      </c>
      <c r="D152" s="98">
        <v>127.53105725427476</v>
      </c>
      <c r="E152" s="99"/>
    </row>
    <row r="153" spans="2:5" x14ac:dyDescent="0.35">
      <c r="B153" s="2" t="s">
        <v>184</v>
      </c>
      <c r="C153" s="97">
        <v>138.22</v>
      </c>
      <c r="D153" s="98">
        <v>121.01707663362339</v>
      </c>
      <c r="E153" s="99"/>
    </row>
    <row r="154" spans="2:5" x14ac:dyDescent="0.35">
      <c r="B154" s="2" t="s">
        <v>185</v>
      </c>
      <c r="C154" s="97">
        <v>136.47999999999999</v>
      </c>
      <c r="D154" s="98">
        <v>109.95871497536761</v>
      </c>
      <c r="E154" s="99"/>
    </row>
    <row r="155" spans="2:5" x14ac:dyDescent="0.35">
      <c r="B155" s="2" t="s">
        <v>186</v>
      </c>
      <c r="C155" s="97">
        <v>89.57</v>
      </c>
      <c r="D155" s="98">
        <v>96.656732888739285</v>
      </c>
      <c r="E155" s="99"/>
    </row>
    <row r="156" spans="2:5" x14ac:dyDescent="0.35">
      <c r="B156" s="2" t="s">
        <v>187</v>
      </c>
      <c r="C156" s="97">
        <v>76.55</v>
      </c>
      <c r="D156" s="98">
        <v>81.845983070775276</v>
      </c>
      <c r="E156" s="99"/>
    </row>
    <row r="157" spans="2:5" x14ac:dyDescent="0.35">
      <c r="B157" s="2" t="s">
        <v>188</v>
      </c>
      <c r="C157" s="97">
        <v>82.29</v>
      </c>
      <c r="D157" s="98">
        <v>81.710938681677703</v>
      </c>
      <c r="E157" s="99"/>
    </row>
    <row r="158" spans="2:5" x14ac:dyDescent="0.35">
      <c r="B158" s="2" t="s">
        <v>189</v>
      </c>
      <c r="C158" s="97">
        <v>89.81</v>
      </c>
      <c r="D158" s="98">
        <v>95.084569900228672</v>
      </c>
      <c r="E158" s="99"/>
    </row>
    <row r="159" spans="2:5" x14ac:dyDescent="0.35">
      <c r="B159" s="2" t="s">
        <v>190</v>
      </c>
      <c r="C159" s="97">
        <v>86.12</v>
      </c>
      <c r="D159" s="98">
        <v>95.354392297922203</v>
      </c>
      <c r="E159" s="99"/>
    </row>
    <row r="160" spans="2:5" x14ac:dyDescent="0.35">
      <c r="B160" s="2" t="s">
        <v>215</v>
      </c>
      <c r="C160" s="2"/>
      <c r="D160" s="2"/>
      <c r="E160" s="100">
        <v>96.827231451016729</v>
      </c>
    </row>
    <row r="161" spans="2:5" x14ac:dyDescent="0.35">
      <c r="B161" s="2" t="s">
        <v>216</v>
      </c>
      <c r="C161" s="2"/>
      <c r="D161" s="2"/>
      <c r="E161" s="100">
        <v>121.83394438351492</v>
      </c>
    </row>
    <row r="162" spans="2:5" x14ac:dyDescent="0.35">
      <c r="B162" s="2" t="s">
        <v>217</v>
      </c>
      <c r="C162" s="2"/>
      <c r="D162" s="2"/>
      <c r="E162" s="100">
        <v>127.04612027897608</v>
      </c>
    </row>
    <row r="163" spans="2:5" x14ac:dyDescent="0.35">
      <c r="B163" s="2" t="s">
        <v>218</v>
      </c>
      <c r="C163" s="2"/>
      <c r="D163" s="2"/>
      <c r="E163" s="100">
        <v>140.36982395221503</v>
      </c>
    </row>
    <row r="164" spans="2:5" x14ac:dyDescent="0.35">
      <c r="B164" s="2" t="s">
        <v>219</v>
      </c>
      <c r="C164" s="2"/>
      <c r="D164" s="2"/>
      <c r="E164" s="100">
        <v>135.36130540323174</v>
      </c>
    </row>
    <row r="165" spans="2:5" x14ac:dyDescent="0.35">
      <c r="B165" s="2" t="s">
        <v>220</v>
      </c>
      <c r="C165" s="2"/>
      <c r="D165" s="2"/>
      <c r="E165" s="100">
        <v>121.56542574313733</v>
      </c>
    </row>
    <row r="166" spans="2:5" x14ac:dyDescent="0.35">
      <c r="B166" s="2" t="s">
        <v>221</v>
      </c>
      <c r="C166" s="2"/>
      <c r="D166" s="2"/>
      <c r="E166" s="100">
        <v>103.97649052748739</v>
      </c>
    </row>
    <row r="167" spans="2:5" x14ac:dyDescent="0.35">
      <c r="B167" s="2" t="s">
        <v>222</v>
      </c>
      <c r="C167" s="2"/>
      <c r="D167" s="2"/>
      <c r="E167" s="100">
        <v>99.763666422948532</v>
      </c>
    </row>
    <row r="168" spans="2:5" x14ac:dyDescent="0.35">
      <c r="B168" s="2" t="s">
        <v>223</v>
      </c>
      <c r="C168" s="2"/>
      <c r="D168" s="2"/>
      <c r="E168" s="100">
        <v>85.013758985076365</v>
      </c>
    </row>
    <row r="169" spans="2:5" x14ac:dyDescent="0.35">
      <c r="B169" s="2" t="s">
        <v>224</v>
      </c>
      <c r="C169" s="2"/>
      <c r="D169" s="2"/>
      <c r="E169" s="100">
        <v>83.064962658315295</v>
      </c>
    </row>
    <row r="170" spans="2:5" x14ac:dyDescent="0.35">
      <c r="B170" s="2" t="s">
        <v>225</v>
      </c>
      <c r="C170" s="2"/>
      <c r="D170" s="2"/>
      <c r="E170" s="100">
        <v>98.467138553776465</v>
      </c>
    </row>
    <row r="171" spans="2:5" x14ac:dyDescent="0.35">
      <c r="B171" s="2" t="s">
        <v>226</v>
      </c>
      <c r="C171" s="2"/>
      <c r="D171" s="2"/>
      <c r="E171" s="100">
        <v>100.99737000479318</v>
      </c>
    </row>
  </sheetData>
  <mergeCells count="14">
    <mergeCell ref="E14:J14"/>
    <mergeCell ref="E15:J15"/>
    <mergeCell ref="E16:J16"/>
    <mergeCell ref="E17:J17"/>
    <mergeCell ref="E18:J18"/>
    <mergeCell ref="D91:L91"/>
    <mergeCell ref="D92:L92"/>
    <mergeCell ref="B94:M94"/>
    <mergeCell ref="B95:M95"/>
    <mergeCell ref="E19:J19"/>
    <mergeCell ref="E20:J20"/>
    <mergeCell ref="D90:L90"/>
    <mergeCell ref="D21:D32"/>
    <mergeCell ref="B35:M35"/>
  </mergeCells>
  <phoneticPr fontId="3" type="noConversion"/>
  <conditionalFormatting sqref="B14:J1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C3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8:F10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7:H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J8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{BB569F96-8C87-4225-882D-36AB41A2331B}</x14:id>
        </ext>
      </extLst>
    </cfRule>
  </conditionalFormatting>
  <conditionalFormatting sqref="K43:K53 S4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55:K6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7:K7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9:K8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569F96-8C87-4225-882D-36AB41A233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J42:J89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Identification</vt:lpstr>
      <vt:lpstr>Tendance</vt:lpstr>
      <vt:lpstr>Saisonnalite</vt:lpstr>
      <vt:lpstr>Residus</vt:lpstr>
      <vt:lpstr>Previsions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t</dc:creator>
  <cp:lastModifiedBy>miss t</cp:lastModifiedBy>
  <dcterms:created xsi:type="dcterms:W3CDTF">2026-02-19T05:07:33Z</dcterms:created>
  <dcterms:modified xsi:type="dcterms:W3CDTF">2026-02-21T09:53:38Z</dcterms:modified>
</cp:coreProperties>
</file>